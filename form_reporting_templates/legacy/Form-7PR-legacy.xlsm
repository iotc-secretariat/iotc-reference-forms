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Z:\Data forms\IOTC 2023\"/>
    </mc:Choice>
  </mc:AlternateContent>
  <xr:revisionPtr revIDLastSave="0" documentId="13_ncr:1_{F16CA0FF-5108-4F0D-A7ED-CF0F6A1748C8}" xr6:coauthVersionLast="47" xr6:coauthVersionMax="47" xr10:uidLastSave="{00000000-0000-0000-0000-000000000000}"/>
  <workbookProtection workbookAlgorithmName="SHA-512" workbookHashValue="Hu9VMbdPqfgobVxdj/LKiqlEKRzU4cbuhYPBoYXMWAV67jszNANmCdgmZEq3J2eNjqVAL6Afb4zgjUK/9wEvhw==" workbookSaltValue="7oYFZBJQJiuyfNs28r0NWw==" workbookSpinCount="100000" lockStructure="1"/>
  <bookViews>
    <workbookView xWindow="-120" yWindow="-120" windowWidth="29040" windowHeight="15840" tabRatio="795" firstSheet="1" activeTab="3" xr2:uid="{00000000-000D-0000-FFFF-FFFF00000000}"/>
  </bookViews>
  <sheets>
    <sheet name="CODEHI" sheetId="5" state="hidden" r:id="rId1"/>
    <sheet name="ReadMe" sheetId="17" r:id="rId2"/>
    <sheet name="FORM" sheetId="14" state="hidden" r:id="rId3"/>
    <sheet name="PRICE" sheetId="1" r:id="rId4"/>
    <sheet name="OCE" sheetId="18" state="veryHidden" r:id="rId5"/>
    <sheet name="CUR" sheetId="19" state="veryHidden" r:id="rId6"/>
    <sheet name="SPC" sheetId="10" state="veryHidden" r:id="rId7"/>
    <sheet name="WUN" sheetId="16" state="veryHidden" r:id="rId8"/>
    <sheet name="PDES" sheetId="11" state="veryHidden" r:id="rId9"/>
    <sheet name="PPL" sheetId="9" state="hidden" r:id="rId10"/>
    <sheet name="FPR" sheetId="8" state="veryHidden" r:id="rId11"/>
    <sheet name="FPRV" sheetId="7" state="veryHidden" r:id="rId12"/>
    <sheet name="TYPR" sheetId="6" state="veryHidden" r:id="rId13"/>
    <sheet name="FLG" sheetId="4" state="veryHidden" r:id="rId14"/>
    <sheet name="NOTES" sheetId="13" state="hidden" r:id="rId15"/>
    <sheet name="CODES" sheetId="2" state="hidden" r:id="rId16"/>
    <sheet name="EFT" sheetId="12" state="veryHidden" r:id="rId17"/>
    <sheet name="SZCA" sheetId="3" state="veryHidden" r:id="rId18"/>
  </sheets>
  <definedNames>
    <definedName name="_xlnm._FilterDatabase" localSheetId="0" hidden="1">CODEHI!$C$2:$C$10</definedName>
    <definedName name="_xlnm._FilterDatabase" localSheetId="8" hidden="1">PDES!$C$1:$C$2</definedName>
    <definedName name="_xlnm._FilterDatabase" localSheetId="17" hidden="1">SZCA!$F$8:$G$9</definedName>
    <definedName name="cest">OFFSET(SZCA!$A$1,0,0,COUNTA(SZCA!$A:$A),1)</definedName>
    <definedName name="CODECUR">OFFSET(CUR!$A$1,0,0,COUNTA(CUR!$A:$A),1)</definedName>
    <definedName name="CODEEFT">OFFSET(CUR!$A$1,0,0,COUNTA(CUR!$A:$A),1)</definedName>
    <definedName name="CODEFLG">OFFSET(FLG!$A$2,0,0,COUNTA(FLG!$A:$A),1)</definedName>
    <definedName name="CODEFPR">OFFSET(FPR!$A$1,0,0,COUNTA(FPR!$A:$A),1)</definedName>
    <definedName name="CODEFPRV">OFFSET(FPRV!$A$1,0,0,COUNTA(FPRV!$A:$A),1)</definedName>
    <definedName name="CodeOCE">OFFSET(OCE!$A$1,0,0,COUNTA(OCE!$A:$A),1)</definedName>
    <definedName name="CODEPDES">OFFSET(PDES!$A$1,0,0,COUNTA(PDES!$A:$A),1)</definedName>
    <definedName name="CodePPL">OFFSET(PPL!$A$1,0,0,COUNTA(PPL!$A:$A),1)</definedName>
    <definedName name="CODESPC">OFFSET(SPC!$A$2,0,0,COUNTA(SPC!$A:$A),1)</definedName>
    <definedName name="CODESZCA">OFFSET(SZCA!$A$1,0,0,COUNTA(SZCA!$A:$A),1)</definedName>
    <definedName name="CODETYPR">OFFSET(TYPR!$A$1,0,0,COUNTA(TYPR!$A:$A),1)</definedName>
    <definedName name="CODEWUN">OFFSET(WUN!$A$1,0,0,COUNTA(WUN!$A:$A),1)</definedName>
    <definedName name="CUR">PRICE!$G$20</definedName>
    <definedName name="EFT">PRICE!#REF!</definedName>
    <definedName name="ENGLISH_I_ANGLAISCUR">OFFSET(CUR!$B$1,0,0,COUNTA(CUR!$B:$B),1)</definedName>
    <definedName name="ENGLISH_I_ANGLAISEFT">OFFSET(CUR!$B$1,0,0,COUNTA(CUR!$B:$B),1)</definedName>
    <definedName name="ENGLISH_I_ANGLAISFLG">OFFSET(FLG!$B$2,0,0,COUNTA(FLG!$B:$B),1)</definedName>
    <definedName name="ENGLISH_I_ANGLAISFPR">OFFSET(FPR!$B$1,0,0,COUNTA(FPR!$B:$B),1)</definedName>
    <definedName name="ENGLISH_I_ANGLAISFPRV">OFFSET(FPRV!$B$1,0,0,COUNTA(FPRV!$B:$B),1)</definedName>
    <definedName name="ENGLISH_I_ANGLAISOCE">OFFSET(OCE!$B$1,0,0,COUNTA(OCE!$B:$B),1)</definedName>
    <definedName name="ENGLISH_I_ANGLAISPDES">OFFSET(PDES!$B$1,0,0,COUNTA(PDES!$B:$B),1)</definedName>
    <definedName name="ENGLISH_I_ANGLAISPPL">OFFSET(PPL!$B$1,0,0,COUNTA(PPL!$B:$B),1)</definedName>
    <definedName name="ENGLISH_I_ANGLAISSPC">OFFSET(SPC!$B$2,0,0,COUNTA(SPC!$B:$B),1)</definedName>
    <definedName name="ENGLISH_I_ANGLAISSZCA">OFFSET(SZCA!$B$1,0,0,COUNTA(SZCA!$B:$B),1)</definedName>
    <definedName name="ENGLISH_I_ANGLAISTYPR">OFFSET(TYPR!$B$1,0,0,COUNTA(TYPR!$B:$B),1)</definedName>
    <definedName name="ENGLISH_I_ANGLAISWUN">OFFSET(WUN!$B$1,0,0,COUNTA(WUN!$B:$B),1)</definedName>
    <definedName name="ExternalData_1" localSheetId="13" hidden="1">FLG!$A$1:$C$77</definedName>
    <definedName name="ExternalData_1" localSheetId="6" hidden="1">SPC!$A$1:$D$255</definedName>
    <definedName name="FIELDS">CODEHI!$C$2:$C$12</definedName>
    <definedName name="FLG">PRICE!$C$16:$E$17</definedName>
    <definedName name="FPR">PRICE!$E$29:$E$500</definedName>
    <definedName name="FPRV">PRICE!$G$29:$G$500</definedName>
    <definedName name="FRANÇAIS_I_FRENCHCUR">OFFSET(CUR!$C$1,0,0,COUNTA(CUR!$C:$C),1)</definedName>
    <definedName name="FRANÇAIS_I_FRENCHFLG">OFFSET(FLG!$C$2,0,0,COUNTA(FLG!$C:$C),1)</definedName>
    <definedName name="FRANÇAIS_I_FRENCHFPR">OFFSET(FPR!$C$1,0,0,COUNTA(FPR!$C:$C),1)</definedName>
    <definedName name="FRANÇAIS_I_FRENCHFPRV">OFFSET(FPRV!$C$1,0,0,COUNTA(FPRV!$C:$C),1)</definedName>
    <definedName name="FRANÇAIS_I_FRENCHOCE">OFFSET(OCE!$C$1,0,0,COUNTA(OCE!$C:$C),1)</definedName>
    <definedName name="FRANÇAIS_I_FRENCHPDES">OFFSET(PDES!$C$1,0,0,COUNTA(PDES!$C:$C),1)</definedName>
    <definedName name="FRANÇAIS_I_FRENCHPPL">OFFSET(PPL!$C$1,0,0,COUNTA(PPL!$C:$C),1)</definedName>
    <definedName name="FRANÇAIS_I_FRENCHSPC">OFFSET(SPC!$C$2,0,0,COUNTA(SPC!$C:$C),1)</definedName>
    <definedName name="FRANÇAIS_I_FRENCHSZCA">OFFSET(SZCA!$C$1,0,0,COUNTA(SZCA!$C:$C),1)</definedName>
    <definedName name="FRANÇAIS_I_FRENCHTYPR">OFFSET(TYPR!$C$1,0,0,COUNTA(TYPR!$C:$C),1)</definedName>
    <definedName name="FRANÇAIS_I_FRENCHWUN">OFFSET(WUN!$C$1,0,0,COUNTA(WUN!$C:$C),1)</definedName>
    <definedName name="LANG">OFFSET(CODEHI!$A$1,0,0,COUNTA(CODEHI!$A$1:$A$3),1)</definedName>
    <definedName name="LANG3">PRICE!$C$6</definedName>
    <definedName name="LANGUAGE">CODEHI!$A$1:$A$3</definedName>
    <definedName name="OCE">PRICE!$C$18</definedName>
    <definedName name="PDES">PRICE!$J$20</definedName>
    <definedName name="period">CODEHI!$I$1:$I$2</definedName>
    <definedName name="PPL">PRICE!$D$20</definedName>
    <definedName name="SCITARGETSPECIES">SPC!$D:$D</definedName>
    <definedName name="SPC">PRICE!$C$29:$D$500</definedName>
    <definedName name="sptab">SPC!$A:$D</definedName>
    <definedName name="SZCA">PRICE!$I$29:$J$500</definedName>
    <definedName name="TYPR">PRICE!$F$29:$F$500</definedName>
    <definedName name="WUN">PRICE!$H$29:$H$500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4" l="1"/>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1" i="14"/>
  <c r="B28" i="1"/>
  <c r="A28" i="1"/>
  <c r="G3" i="1"/>
  <c r="G1" i="1"/>
  <c r="L26" i="1"/>
  <c r="K26" i="1"/>
  <c r="F26" i="1"/>
  <c r="L20" i="1"/>
  <c r="A18" i="1"/>
  <c r="A15" i="1"/>
  <c r="A17" i="1"/>
  <c r="A16" i="1"/>
  <c r="G26" i="1"/>
  <c r="H20" i="1"/>
  <c r="B20" i="1"/>
  <c r="E26" i="1"/>
  <c r="A8" i="1"/>
  <c r="A9" i="1"/>
  <c r="F20" i="1"/>
  <c r="A6" i="1"/>
  <c r="E11" i="1"/>
  <c r="I10" i="1"/>
  <c r="A10" i="1"/>
  <c r="C26" i="1"/>
  <c r="I26" i="1"/>
  <c r="A23" i="1"/>
  <c r="H26" i="1"/>
  <c r="N11" i="1"/>
  <c r="I11" i="1"/>
  <c r="K16" i="1"/>
  <c r="I9" i="1"/>
  <c r="A1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7FD2FB-61FA-485D-9D27-97808FDAF6BA}" keepAlive="1" name="Query - V_REP_FLAGS" description="Connection to the 'V_REP_FLAGS' query in the workbook." type="5" refreshedVersion="6" background="1" saveData="1">
    <dbPr connection="Provider=Microsoft.Mashup.OleDb.1;Data Source=$Workbook$;Location=V_REP_FLAGS;Extended Properties=&quot;&quot;" command="SELECT * FROM [V_REP_FLAGS]"/>
  </connection>
  <connection id="2" xr16:uid="{35037368-CD2E-4342-9703-54C8A9D53038}" keepAlive="1" name="Query - V_REP_SPECIES" description="Connection to the 'V_REP_SPECIES' query in the workbook." type="5" refreshedVersion="8" background="1" saveData="1">
    <dbPr connection="Provider=Microsoft.Mashup.OleDb.1;Data Source=$Workbook$;Location=V_REP_SPECIES;Extended Properties=&quot;&quot;" command="SELECT * FROM [V_REP_SPECIES]"/>
  </connection>
</connections>
</file>

<file path=xl/sharedStrings.xml><?xml version="1.0" encoding="utf-8"?>
<sst xmlns="http://schemas.openxmlformats.org/spreadsheetml/2006/main" count="2812" uniqueCount="2146">
  <si>
    <t xml:space="preserve">NOTEZ QUE LES LISTES CTOI NE SONT PAS TOUJOURS COMPLETES. VEUILLEZ VOUS REFEREZ AU DOCUMENT "REMARQUES GENERALES SUR L'UTILISATION DES FORMULAIRES CTOI" SUR LA FACON D'UTILISER LES NOUVEAUX CODES DANS LES FORMULAIRES. </t>
  </si>
  <si>
    <t xml:space="preserve">CLICK ON THE CODE TABLE CONCERNED (COLUMN PAGE) TO MOVE TO THE WORKSHEET OF YOUR CHOICE. </t>
  </si>
  <si>
    <t>CLIQUEZ SUR LA TABLE DE CODE CONCERNEE (PAGE COLONNE) AFIN D'ALLER SUR LA PAGE DE VOTRE CHOIX</t>
  </si>
  <si>
    <t>Additional details on the type of information required and on the use of IOTC forms is presented in two separate documents:</t>
  </si>
  <si>
    <t>Vous trouverez des détails supplémentaires sur le type d’informations requises et sur l’utilisation des formulaires CTOI dans les deux documents :</t>
  </si>
  <si>
    <t>EFFORT</t>
  </si>
  <si>
    <t>QUADRANT</t>
  </si>
  <si>
    <t>LATITUDE</t>
  </si>
  <si>
    <t>LONGITUDE</t>
  </si>
  <si>
    <t>COMMENTS</t>
  </si>
  <si>
    <t>Code</t>
  </si>
  <si>
    <t>Englishname</t>
  </si>
  <si>
    <t>Frenchname</t>
  </si>
  <si>
    <t>Species scientific name</t>
  </si>
  <si>
    <t>FLAG</t>
  </si>
  <si>
    <t>AUS</t>
  </si>
  <si>
    <t>Australia</t>
  </si>
  <si>
    <t>Australie</t>
  </si>
  <si>
    <t>IOSP</t>
  </si>
  <si>
    <t>YFT</t>
  </si>
  <si>
    <t>Yellowfin tuna</t>
  </si>
  <si>
    <t>Albacore</t>
  </si>
  <si>
    <t>Thunnus albacares</t>
  </si>
  <si>
    <t>BHR</t>
  </si>
  <si>
    <t>Bahrain</t>
  </si>
  <si>
    <t>Bahreïn</t>
  </si>
  <si>
    <t>BET</t>
  </si>
  <si>
    <t>Bigeye tuna</t>
  </si>
  <si>
    <t>Patudo; Thon obèse</t>
  </si>
  <si>
    <t>Thunnus obesus</t>
  </si>
  <si>
    <t>BGD</t>
  </si>
  <si>
    <t>Bangladesh</t>
  </si>
  <si>
    <t>SKJ</t>
  </si>
  <si>
    <t>Skipjack tuna</t>
  </si>
  <si>
    <t>Listao</t>
  </si>
  <si>
    <t>Katsuwonus pelamis</t>
  </si>
  <si>
    <t>BLZ</t>
  </si>
  <si>
    <t>Belize</t>
  </si>
  <si>
    <t>ALB</t>
  </si>
  <si>
    <t>Germon</t>
  </si>
  <si>
    <t>Thunnus alalunga</t>
  </si>
  <si>
    <t>CHN</t>
  </si>
  <si>
    <t>China</t>
  </si>
  <si>
    <t>Chine</t>
  </si>
  <si>
    <t>SBF</t>
  </si>
  <si>
    <t>Southern bluefin tuna</t>
  </si>
  <si>
    <t>Thon rouge du Sud</t>
  </si>
  <si>
    <t>Thunnus maccoyii</t>
  </si>
  <si>
    <t>TWN</t>
  </si>
  <si>
    <t xml:space="preserve">    Taiwan,China</t>
  </si>
  <si>
    <t xml:space="preserve">    Taiwan,Chine</t>
  </si>
  <si>
    <t>SWO</t>
  </si>
  <si>
    <t>Swordfish</t>
  </si>
  <si>
    <t>Espadon</t>
  </si>
  <si>
    <t>Xiphias gladius</t>
  </si>
  <si>
    <t>COM</t>
  </si>
  <si>
    <t>Comoros</t>
  </si>
  <si>
    <t>Comores</t>
  </si>
  <si>
    <t>BLM</t>
  </si>
  <si>
    <t>Black Marlin</t>
  </si>
  <si>
    <t>Makaire noir</t>
  </si>
  <si>
    <t>Makaira indica</t>
  </si>
  <si>
    <t>DJI</t>
  </si>
  <si>
    <t>Djibouti</t>
  </si>
  <si>
    <t>BUM</t>
  </si>
  <si>
    <t>Blue Marlin</t>
  </si>
  <si>
    <t>Makaire bleu</t>
  </si>
  <si>
    <t>Makaira nigricans</t>
  </si>
  <si>
    <t>EGY</t>
  </si>
  <si>
    <t>Egypt</t>
  </si>
  <si>
    <t>Egypte</t>
  </si>
  <si>
    <t>MLS</t>
  </si>
  <si>
    <t>Striped marlin</t>
  </si>
  <si>
    <t>Marlin rayé</t>
  </si>
  <si>
    <t>Tetrapturus audax</t>
  </si>
  <si>
    <t>ERI</t>
  </si>
  <si>
    <t>Eritrea</t>
  </si>
  <si>
    <t>Erythrée</t>
  </si>
  <si>
    <t>SFA</t>
  </si>
  <si>
    <t>Indo-Pacific sailfish</t>
  </si>
  <si>
    <t>Voilier indo-pacifique</t>
  </si>
  <si>
    <t>Istiophorus platypterus</t>
  </si>
  <si>
    <t>EUR</t>
  </si>
  <si>
    <t>European Community</t>
  </si>
  <si>
    <t>Communauté européenne</t>
  </si>
  <si>
    <t>LOT</t>
  </si>
  <si>
    <t>Longtail tuna</t>
  </si>
  <si>
    <t>Thon mignon</t>
  </si>
  <si>
    <t>Thunnus tonggol</t>
  </si>
  <si>
    <t>FRAT</t>
  </si>
  <si>
    <t>France OT</t>
  </si>
  <si>
    <t>France TOM</t>
  </si>
  <si>
    <t>KAW</t>
  </si>
  <si>
    <t>Kawakawa</t>
  </si>
  <si>
    <t>Thonine orientale</t>
  </si>
  <si>
    <t>Euthynnus affinis</t>
  </si>
  <si>
    <t>GIN</t>
  </si>
  <si>
    <t>Guinea</t>
  </si>
  <si>
    <t>Guinée</t>
  </si>
  <si>
    <t>FRI</t>
  </si>
  <si>
    <t>Frigate tuna</t>
  </si>
  <si>
    <t>Auxide</t>
  </si>
  <si>
    <t>Auxis thazard</t>
  </si>
  <si>
    <t>IND</t>
  </si>
  <si>
    <t>India</t>
  </si>
  <si>
    <t>Inde</t>
  </si>
  <si>
    <t>BLT</t>
  </si>
  <si>
    <t>Bullet tuna</t>
  </si>
  <si>
    <t>Bonitou</t>
  </si>
  <si>
    <t>Auxis rochei</t>
  </si>
  <si>
    <t>IDN</t>
  </si>
  <si>
    <t>Indonesia</t>
  </si>
  <si>
    <t>Indonésie</t>
  </si>
  <si>
    <t>Narrow-barred Spanish mackerel</t>
  </si>
  <si>
    <t>Thazard rayé indo-pacifique</t>
  </si>
  <si>
    <t>Scomberomorus commerson</t>
  </si>
  <si>
    <t>IRN</t>
  </si>
  <si>
    <t>Iran IR</t>
  </si>
  <si>
    <t>Iran RI</t>
  </si>
  <si>
    <t>GUT</t>
  </si>
  <si>
    <t>Indo-Pacific king mackerel</t>
  </si>
  <si>
    <t>Thazard ponctué indo-pacifique</t>
  </si>
  <si>
    <t>Scomberomorus guttatus</t>
  </si>
  <si>
    <t>IRQ</t>
  </si>
  <si>
    <t>Iraq</t>
  </si>
  <si>
    <t>SKH</t>
  </si>
  <si>
    <t>ALS</t>
  </si>
  <si>
    <t>Silvertip shark</t>
  </si>
  <si>
    <t>Requin pointe blanche</t>
  </si>
  <si>
    <t>Carcharhinus albimarginatus</t>
  </si>
  <si>
    <t>ISR</t>
  </si>
  <si>
    <t>Israel</t>
  </si>
  <si>
    <t>Israël</t>
  </si>
  <si>
    <t>ALV</t>
  </si>
  <si>
    <t>Thresher Shark</t>
  </si>
  <si>
    <t>Renard</t>
  </si>
  <si>
    <t>Alopias vulpinus</t>
  </si>
  <si>
    <t>JPN</t>
  </si>
  <si>
    <t>Japan</t>
  </si>
  <si>
    <t>Japon</t>
  </si>
  <si>
    <t>BSH</t>
  </si>
  <si>
    <t>Blue shark</t>
  </si>
  <si>
    <t>Peau bleue</t>
  </si>
  <si>
    <t>Prionace glauca</t>
  </si>
  <si>
    <t>JOR</t>
  </si>
  <si>
    <t>Jordan</t>
  </si>
  <si>
    <t>Jordanie</t>
  </si>
  <si>
    <t>BTH</t>
  </si>
  <si>
    <t>Bigeye thresher</t>
  </si>
  <si>
    <t>Renard a gros yeux</t>
  </si>
  <si>
    <t>Alopias superciliosus</t>
  </si>
  <si>
    <t>KEN</t>
  </si>
  <si>
    <t>Kenya</t>
  </si>
  <si>
    <t>CCP</t>
  </si>
  <si>
    <t>Sandbar shark</t>
  </si>
  <si>
    <t>Requin gris</t>
  </si>
  <si>
    <t>Carcharhinus plumbeus</t>
  </si>
  <si>
    <t>KWT</t>
  </si>
  <si>
    <t>Kuwait</t>
  </si>
  <si>
    <t>Koweït</t>
  </si>
  <si>
    <t>FAL</t>
  </si>
  <si>
    <t>Silky shark</t>
  </si>
  <si>
    <t>Requin soyeux</t>
  </si>
  <si>
    <t>Carcharhinus falciformis</t>
  </si>
  <si>
    <t>MDG</t>
  </si>
  <si>
    <t>Madagascar</t>
  </si>
  <si>
    <t>LMA</t>
  </si>
  <si>
    <t>Longfin mako</t>
  </si>
  <si>
    <t>Petite taupe</t>
  </si>
  <si>
    <t>Isurus paucus</t>
  </si>
  <si>
    <t>MYS</t>
  </si>
  <si>
    <t>Malaysia</t>
  </si>
  <si>
    <t>Malaisie</t>
  </si>
  <si>
    <t>OCS</t>
  </si>
  <si>
    <t>Oceanic whitetip shark</t>
  </si>
  <si>
    <t>Requin océanique</t>
  </si>
  <si>
    <t>Carcharhinus longimanus</t>
  </si>
  <si>
    <t>MDV</t>
  </si>
  <si>
    <t>Maldives</t>
  </si>
  <si>
    <t>POR</t>
  </si>
  <si>
    <t>Porbeagle</t>
  </si>
  <si>
    <t>Requin-taupe commun</t>
  </si>
  <si>
    <t>Lamna nasus</t>
  </si>
  <si>
    <t>MUS</t>
  </si>
  <si>
    <t>Mauritius</t>
  </si>
  <si>
    <t>Maurice</t>
  </si>
  <si>
    <t>PSK</t>
  </si>
  <si>
    <t>Crocodile shark</t>
  </si>
  <si>
    <t>Requin crocodile</t>
  </si>
  <si>
    <t>Pseudocarcharias kamoharai</t>
  </si>
  <si>
    <t>MOZ</t>
  </si>
  <si>
    <t>Mozambique</t>
  </si>
  <si>
    <t>PTH</t>
  </si>
  <si>
    <t>Pelagic Thresher Shark</t>
  </si>
  <si>
    <t>Renard pelagique</t>
  </si>
  <si>
    <t>Alopias pelagicus</t>
  </si>
  <si>
    <t>MYM</t>
  </si>
  <si>
    <t>Myanmar</t>
  </si>
  <si>
    <t>RHN</t>
  </si>
  <si>
    <t>Whale shark</t>
  </si>
  <si>
    <t>Requin-baleine</t>
  </si>
  <si>
    <t>Rhincodon typus</t>
  </si>
  <si>
    <t>OMN</t>
  </si>
  <si>
    <t>Oman</t>
  </si>
  <si>
    <t>SMA</t>
  </si>
  <si>
    <t>Shortfin mako</t>
  </si>
  <si>
    <t>Taupe bleue</t>
  </si>
  <si>
    <t>Isurus oxyrinchus</t>
  </si>
  <si>
    <t>PAK</t>
  </si>
  <si>
    <t>Pakistan</t>
  </si>
  <si>
    <t>SPL</t>
  </si>
  <si>
    <t>Scalloped hammerhead</t>
  </si>
  <si>
    <t>Requin marteau halicorne</t>
  </si>
  <si>
    <t>Sphyrna lewini</t>
  </si>
  <si>
    <t>PHL</t>
  </si>
  <si>
    <t>Philippines</t>
  </si>
  <si>
    <t>TIG</t>
  </si>
  <si>
    <t>Tiger shark</t>
  </si>
  <si>
    <t>Requin tigre commun</t>
  </si>
  <si>
    <t>Galeocerdo cuvier</t>
  </si>
  <si>
    <t>QAT</t>
  </si>
  <si>
    <t>Qatar</t>
  </si>
  <si>
    <t>WSH</t>
  </si>
  <si>
    <t>Great White shark</t>
  </si>
  <si>
    <t>Grand requin blanc</t>
  </si>
  <si>
    <t>Carcharodon carcharias</t>
  </si>
  <si>
    <t>SAU</t>
  </si>
  <si>
    <t>Saudi Arabia</t>
  </si>
  <si>
    <t>Arabie saoudite</t>
  </si>
  <si>
    <t>RMB</t>
  </si>
  <si>
    <t>Giant manta</t>
  </si>
  <si>
    <t>Mante géante</t>
  </si>
  <si>
    <t>Manta birostris</t>
  </si>
  <si>
    <t>SEN</t>
  </si>
  <si>
    <t>Senegal</t>
  </si>
  <si>
    <t>Sénégal</t>
  </si>
  <si>
    <t>OXY</t>
  </si>
  <si>
    <t>Angular rough shark</t>
  </si>
  <si>
    <t>Centrine communes</t>
  </si>
  <si>
    <t>Oxynotus centrina</t>
  </si>
  <si>
    <t>SYC</t>
  </si>
  <si>
    <t>Seychelles</t>
  </si>
  <si>
    <t>MTM</t>
  </si>
  <si>
    <t>Arabian smooth-hound</t>
  </si>
  <si>
    <t>Emissole d'Arabie</t>
  </si>
  <si>
    <t>Mustelus mosis</t>
  </si>
  <si>
    <t>SLE</t>
  </si>
  <si>
    <t>Sierra Leone</t>
  </si>
  <si>
    <t>SHBC</t>
  </si>
  <si>
    <t>Banded cat shark</t>
  </si>
  <si>
    <t>Holbiche des plages</t>
  </si>
  <si>
    <t>Halaelurus lineatus</t>
  </si>
  <si>
    <t>SOM</t>
  </si>
  <si>
    <t>Somalia</t>
  </si>
  <si>
    <t>Somalie</t>
  </si>
  <si>
    <t>ODH</t>
  </si>
  <si>
    <t>Bigeye sand tiger shark</t>
  </si>
  <si>
    <t>Requin noronhai</t>
  </si>
  <si>
    <t>Odontaspis noronhai</t>
  </si>
  <si>
    <t>ZAF</t>
  </si>
  <si>
    <t>South Africa</t>
  </si>
  <si>
    <t>Afrique du Sud</t>
  </si>
  <si>
    <t>BLR</t>
  </si>
  <si>
    <t>Blacktip reef shark</t>
  </si>
  <si>
    <t>Requin pointes noires</t>
  </si>
  <si>
    <t>Carcharhinus melanopterus</t>
  </si>
  <si>
    <t>KOR</t>
  </si>
  <si>
    <t>Republic of Korea</t>
  </si>
  <si>
    <t>République de Corée</t>
  </si>
  <si>
    <t>CCL</t>
  </si>
  <si>
    <t>Blacktip shark</t>
  </si>
  <si>
    <t>Requin bordé</t>
  </si>
  <si>
    <t>ENGLISH_I_ANGLAIS</t>
  </si>
  <si>
    <t>FRANÇAIS_I_FRENCH</t>
  </si>
  <si>
    <t>NO. TELEPHONE</t>
  </si>
  <si>
    <t>Pêcherie</t>
  </si>
  <si>
    <t>TYPE OF DATA</t>
  </si>
  <si>
    <t>SOURCE DES DONNEES</t>
  </si>
  <si>
    <t xml:space="preserve"> Traitement de l'information</t>
  </si>
  <si>
    <t>Espèce  Cible</t>
  </si>
  <si>
    <t>Couverture</t>
  </si>
  <si>
    <t>Espèce</t>
  </si>
  <si>
    <t>ORGANISATION</t>
  </si>
  <si>
    <t>Unité de Capture</t>
  </si>
  <si>
    <t>Tuna Statistics in the Indian Ocean</t>
  </si>
  <si>
    <t>Statistiques Thonières dans l’Océan Indien</t>
  </si>
  <si>
    <t>(Flottilles fournissant des Cahiers de Pêche)</t>
  </si>
  <si>
    <t>(Fleets Providing Logbook Information)</t>
  </si>
  <si>
    <t>Carcharhinus limbatus</t>
  </si>
  <si>
    <t>LKA</t>
  </si>
  <si>
    <t>Sri Lanka</t>
  </si>
  <si>
    <t>NTC</t>
  </si>
  <si>
    <t>Broadnose sevengill shark</t>
  </si>
  <si>
    <t>Platnez</t>
  </si>
  <si>
    <t>Notorynchus cepedianus</t>
  </si>
  <si>
    <t>SDN</t>
  </si>
  <si>
    <t>Sudan</t>
  </si>
  <si>
    <t>Soudan</t>
  </si>
  <si>
    <t>BRO</t>
  </si>
  <si>
    <t>Copper shark</t>
  </si>
  <si>
    <t>Requin cuivre</t>
  </si>
  <si>
    <t>Carcharhinus brachyurus</t>
  </si>
  <si>
    <t>TZA</t>
  </si>
  <si>
    <t>Tanzania</t>
  </si>
  <si>
    <t>Tanzanie</t>
  </si>
  <si>
    <t>DUS</t>
  </si>
  <si>
    <t>Dusky shark</t>
  </si>
  <si>
    <t>Requin de sable</t>
  </si>
  <si>
    <t>Carcharhinus obscurus</t>
  </si>
  <si>
    <t>THA</t>
  </si>
  <si>
    <t>Thailand</t>
  </si>
  <si>
    <t>Thaïlande</t>
  </si>
  <si>
    <t>CCG</t>
  </si>
  <si>
    <t>Galapagos shark</t>
  </si>
  <si>
    <t>Requin des Galapagos</t>
  </si>
  <si>
    <t>Carcharhinus galapagensis</t>
  </si>
  <si>
    <t>TMP</t>
  </si>
  <si>
    <t>Timor-Leste</t>
  </si>
  <si>
    <t>ORR</t>
  </si>
  <si>
    <t>Grey bambooshark</t>
  </si>
  <si>
    <t>Requin-chabot gris</t>
  </si>
  <si>
    <t>Chiloscyllium griseum</t>
  </si>
  <si>
    <t>ARE</t>
  </si>
  <si>
    <t>United Arab Emirates</t>
  </si>
  <si>
    <t>Emirats arabes unies</t>
  </si>
  <si>
    <t>AML</t>
  </si>
  <si>
    <t>Grey Reef Shark</t>
  </si>
  <si>
    <t>Requin dagsit</t>
  </si>
  <si>
    <t>Carcharhinus amblyrhynchos</t>
  </si>
  <si>
    <t>GBRT</t>
  </si>
  <si>
    <t>United Kingdom OT</t>
  </si>
  <si>
    <t>Royaume Uni OT</t>
  </si>
  <si>
    <t>CCM</t>
  </si>
  <si>
    <t>Hardnose shark</t>
  </si>
  <si>
    <t>Requin nez rude</t>
  </si>
  <si>
    <t>Carcharhinus macloti</t>
  </si>
  <si>
    <t>URY</t>
  </si>
  <si>
    <t>Uruguay</t>
  </si>
  <si>
    <t>SCK</t>
  </si>
  <si>
    <t>Kitefin shark</t>
  </si>
  <si>
    <t>Squale liche</t>
  </si>
  <si>
    <t>Dalatias licha</t>
  </si>
  <si>
    <t>VUT</t>
  </si>
  <si>
    <t>Vanuatu</t>
  </si>
  <si>
    <t>CPU</t>
  </si>
  <si>
    <t>Little gulper shark</t>
  </si>
  <si>
    <t>Petit squale-chagrin</t>
  </si>
  <si>
    <t>Centrophorus uyato</t>
  </si>
  <si>
    <t>YEM</t>
  </si>
  <si>
    <t>Yemen</t>
  </si>
  <si>
    <t>Yémen</t>
  </si>
  <si>
    <t>CYT</t>
  </si>
  <si>
    <t>Ornate dogfish</t>
  </si>
  <si>
    <t>Aiguillat élégant</t>
  </si>
  <si>
    <t>Centroscyllium ornatum</t>
  </si>
  <si>
    <r>
      <t>NEI</t>
    </r>
    <r>
      <rPr>
        <vertAlign val="superscript"/>
        <sz val="11"/>
        <color indexed="8"/>
        <rFont val="Wingdings"/>
        <charset val="2"/>
      </rPr>
      <t>w</t>
    </r>
  </si>
  <si>
    <t>Various flags</t>
  </si>
  <si>
    <t>Plusieurs pavillons</t>
  </si>
  <si>
    <t>DOP</t>
  </si>
  <si>
    <t>Shortnose spurdog</t>
  </si>
  <si>
    <t>Aiguillat nez court</t>
  </si>
  <si>
    <t>Squalus megalops</t>
  </si>
  <si>
    <t>BS</t>
  </si>
  <si>
    <t>Beach seine</t>
  </si>
  <si>
    <t>Senne de plage</t>
  </si>
  <si>
    <t>Artisanal</t>
  </si>
  <si>
    <t>ORI</t>
  </si>
  <si>
    <t>Slender bambooshark</t>
  </si>
  <si>
    <t>Requin-chabot élégant</t>
  </si>
  <si>
    <t>Chiloscyllium indicum</t>
  </si>
  <si>
    <t>CN</t>
  </si>
  <si>
    <t>Cast net</t>
  </si>
  <si>
    <t>Épervier</t>
  </si>
  <si>
    <t>CLD</t>
  </si>
  <si>
    <t>Sliteye shark</t>
  </si>
  <si>
    <t>Requin sagrin</t>
  </si>
  <si>
    <t>Loxodon macrorhinus</t>
  </si>
  <si>
    <t>DS</t>
  </si>
  <si>
    <t>Danish seine</t>
  </si>
  <si>
    <t>Senne danoise</t>
  </si>
  <si>
    <t>CEM</t>
  </si>
  <si>
    <t>Smallfin gulper shark</t>
  </si>
  <si>
    <t>Squale-chagrin cagaou</t>
  </si>
  <si>
    <t>Centrophorus moluccensis</t>
  </si>
  <si>
    <t>GI</t>
  </si>
  <si>
    <t>Gillnet</t>
  </si>
  <si>
    <t>Filet maillant</t>
  </si>
  <si>
    <t>SPZ</t>
  </si>
  <si>
    <t>Smooth hammerhead</t>
  </si>
  <si>
    <t>Requin marteau commun</t>
  </si>
  <si>
    <t>Sphyrna zygaena</t>
  </si>
  <si>
    <t>GIDR</t>
  </si>
  <si>
    <t>Driftnet</t>
  </si>
  <si>
    <t>Filet dérivant</t>
  </si>
  <si>
    <t>Industrial</t>
  </si>
  <si>
    <t>SMD</t>
  </si>
  <si>
    <t>Smooth-hound</t>
  </si>
  <si>
    <t>Emissole lisse</t>
  </si>
  <si>
    <t>Mustelus mustelus</t>
  </si>
  <si>
    <t>GIOF</t>
  </si>
  <si>
    <t>Offshore gillnet</t>
  </si>
  <si>
    <t>Filet maillant pêche hauturière</t>
  </si>
  <si>
    <t>Semi-industrial</t>
  </si>
  <si>
    <t>SLA</t>
  </si>
  <si>
    <t>Spadenose shark</t>
  </si>
  <si>
    <t>Requin épée</t>
  </si>
  <si>
    <t>Scoliodon laticaudus</t>
  </si>
  <si>
    <t>HL</t>
  </si>
  <si>
    <t>Handline</t>
  </si>
  <si>
    <t>Ligne à main</t>
  </si>
  <si>
    <t>SKPN</t>
  </si>
  <si>
    <t>Spinner Shark</t>
  </si>
  <si>
    <t>Requin tisserand</t>
  </si>
  <si>
    <t>Carcharhinus brevipinna</t>
  </si>
  <si>
    <t>HLLS</t>
  </si>
  <si>
    <t>Handline with payao</t>
  </si>
  <si>
    <t>Ligne à main sous épave</t>
  </si>
  <si>
    <t>CCQ</t>
  </si>
  <si>
    <t>Spot-tail shark</t>
  </si>
  <si>
    <t>Requin queue tachet</t>
  </si>
  <si>
    <t>Carcharhinus sorrah</t>
  </si>
  <si>
    <t>HR</t>
  </si>
  <si>
    <t>Harpoon</t>
  </si>
  <si>
    <t>Harpon</t>
  </si>
  <si>
    <t>ORZ</t>
  </si>
  <si>
    <t>Tawny nurse shark</t>
  </si>
  <si>
    <t>Requin nourrice fauve</t>
  </si>
  <si>
    <t>Nebrius ferrugineus</t>
  </si>
  <si>
    <t>LL</t>
  </si>
  <si>
    <t>Drifting longline (over 1800 hooks)</t>
  </si>
  <si>
    <t>Palangre dérivant (au-dessus de 1800 hameçons)</t>
  </si>
  <si>
    <t>GAG</t>
  </si>
  <si>
    <t>Tope shark</t>
  </si>
  <si>
    <t>Requin-hâ</t>
  </si>
  <si>
    <t>Galeorhinus galeus</t>
  </si>
  <si>
    <t>LLCO</t>
  </si>
  <si>
    <t>Smalll longline</t>
  </si>
  <si>
    <t>Petit palangre</t>
  </si>
  <si>
    <t>SSQ</t>
  </si>
  <si>
    <t>Velvet dogfish</t>
  </si>
  <si>
    <t>Squale-grogneur velouté</t>
  </si>
  <si>
    <t>Zameus squamulosus</t>
  </si>
  <si>
    <t>LLEX</t>
  </si>
  <si>
    <t>Drifting longline (exploratory)</t>
  </si>
  <si>
    <t>Palangre dérivant (prospection)</t>
  </si>
  <si>
    <t>CCD</t>
  </si>
  <si>
    <t>Whitecheek shark</t>
  </si>
  <si>
    <t>Requin joues blanches</t>
  </si>
  <si>
    <t>Carcharhinus dussumieri</t>
  </si>
  <si>
    <t>LLFR</t>
  </si>
  <si>
    <t>Drifting longline (up to 1800 hooks)</t>
  </si>
  <si>
    <t>Palangre dérivant (jusqu'au 1800 hameçons)</t>
  </si>
  <si>
    <t>RHA</t>
  </si>
  <si>
    <t>White-eyed shark</t>
  </si>
  <si>
    <t>Requin museau pointu</t>
  </si>
  <si>
    <t>Rhizoprionodon acutus</t>
  </si>
  <si>
    <t>LLGI</t>
  </si>
  <si>
    <t>Gillnet/longline</t>
  </si>
  <si>
    <t>Filet maillant/palangre</t>
  </si>
  <si>
    <t>OSF</t>
  </si>
  <si>
    <t>Zebra shark</t>
  </si>
  <si>
    <t>Requin zèbre</t>
  </si>
  <si>
    <t>Stegostoma fasciatum</t>
  </si>
  <si>
    <t>LLSI</t>
  </si>
  <si>
    <t>Swordfish longline (semi-industrial)</t>
  </si>
  <si>
    <t>Palangre à l'espadon (semi-industriel)</t>
  </si>
  <si>
    <t>HXT</t>
  </si>
  <si>
    <t>Sharpnose sevengill shark</t>
  </si>
  <si>
    <t>Requin perlon</t>
  </si>
  <si>
    <t>Heptranchias perlo</t>
  </si>
  <si>
    <t>LLSK</t>
  </si>
  <si>
    <t>Shark longline</t>
  </si>
  <si>
    <t>Palangre aux requins</t>
  </si>
  <si>
    <t>SBL</t>
  </si>
  <si>
    <t>Bluntnose sixgill shark</t>
  </si>
  <si>
    <t>Requin griset</t>
  </si>
  <si>
    <t>Hexanchus griseus</t>
  </si>
  <si>
    <t>LLSW</t>
  </si>
  <si>
    <t>Swordfish longline (Florida longline)</t>
  </si>
  <si>
    <t>Palangre à l'espadon (palangre Florida)</t>
  </si>
  <si>
    <t>HXN</t>
  </si>
  <si>
    <t>Bigeyed sixgill shark</t>
  </si>
  <si>
    <t>Requin vache</t>
  </si>
  <si>
    <t>Hexanchus nakamurai</t>
  </si>
  <si>
    <t>LLTU</t>
  </si>
  <si>
    <t>Tuna longline</t>
  </si>
  <si>
    <t>Palangre aux thons</t>
  </si>
  <si>
    <t>RME</t>
  </si>
  <si>
    <t>Longhorned mobula</t>
  </si>
  <si>
    <t>Mante diable</t>
  </si>
  <si>
    <t>Mobula eregoodootenkee</t>
  </si>
  <si>
    <t>LN</t>
  </si>
  <si>
    <t>Liftnet</t>
  </si>
  <si>
    <t>Carrelet</t>
  </si>
  <si>
    <t>OTHR</t>
  </si>
  <si>
    <t>RMJ</t>
  </si>
  <si>
    <t>Spinetail mobula</t>
  </si>
  <si>
    <t>Mante aiguillat</t>
  </si>
  <si>
    <t>Mobula japanica</t>
  </si>
  <si>
    <t>PL</t>
  </si>
  <si>
    <t>Pole and line</t>
  </si>
  <si>
    <t>Canne</t>
  </si>
  <si>
    <t>RMO</t>
  </si>
  <si>
    <t>Smoothtail mobula</t>
  </si>
  <si>
    <t>Mante à queue lise</t>
  </si>
  <si>
    <t>Mobula thurstoni</t>
  </si>
  <si>
    <t>PLIN</t>
  </si>
  <si>
    <t>Industrial pole and line</t>
  </si>
  <si>
    <t>Canne industriel</t>
  </si>
  <si>
    <t>BAU</t>
  </si>
  <si>
    <t xml:space="preserve">         AFFICHER FORMULAIRE EN FRANÇAIS</t>
  </si>
  <si>
    <t>Australian bonito</t>
  </si>
  <si>
    <t>Bonite bagnard</t>
  </si>
  <si>
    <t>Sarda australis</t>
  </si>
  <si>
    <t>PLME</t>
  </si>
  <si>
    <t>Pole and line (mechanized boats)</t>
  </si>
  <si>
    <t>Canne (bateaux motorisés)</t>
  </si>
  <si>
    <t>BAR</t>
  </si>
  <si>
    <t>Barracudas</t>
  </si>
  <si>
    <t>Brochets de mer</t>
  </si>
  <si>
    <t>Sphyraena spp</t>
  </si>
  <si>
    <t>PLNM</t>
  </si>
  <si>
    <t>Pole and line (non-mechanized boats)</t>
  </si>
  <si>
    <t>Canne (bateaux non-motorisés)</t>
  </si>
  <si>
    <t>ESCL</t>
  </si>
  <si>
    <t>Black escolar</t>
  </si>
  <si>
    <t>Escolier noir</t>
  </si>
  <si>
    <t>Lepidocybium flavobrunneum</t>
  </si>
  <si>
    <t>PLOF</t>
  </si>
  <si>
    <t>Offshore pole and line</t>
  </si>
  <si>
    <t>Canne pêche hauturière</t>
  </si>
  <si>
    <t>MAA</t>
  </si>
  <si>
    <t>Blue mackerel</t>
  </si>
  <si>
    <t>Maquereau tacheté</t>
  </si>
  <si>
    <t>Scomber australasicus</t>
  </si>
  <si>
    <t>PS</t>
  </si>
  <si>
    <t>Tuna purse seine</t>
  </si>
  <si>
    <t>Senne tournante industriel thons</t>
  </si>
  <si>
    <t>BUK</t>
  </si>
  <si>
    <t>Butterfly kingfish</t>
  </si>
  <si>
    <t>Thon papillon</t>
  </si>
  <si>
    <t>Gasterochisma melampus</t>
  </si>
  <si>
    <t>PSFS</t>
  </si>
  <si>
    <t>Free-school tuna purse seine</t>
  </si>
  <si>
    <t>Senne tournante banc livres des thons</t>
  </si>
  <si>
    <t>DOL</t>
  </si>
  <si>
    <t>Common dolphinfish</t>
  </si>
  <si>
    <t>Coryphène commune</t>
  </si>
  <si>
    <t>Coryphaena hippurus</t>
  </si>
  <si>
    <t>PSLS</t>
  </si>
  <si>
    <t>Log-school tuna purse seine</t>
  </si>
  <si>
    <t>Senne tournante thons sous épave</t>
  </si>
  <si>
    <t>DOT</t>
  </si>
  <si>
    <t>Dogtooth tuna</t>
  </si>
  <si>
    <t>Bonite à gros yeux</t>
  </si>
  <si>
    <t>Gymnosarda unicolor</t>
  </si>
  <si>
    <t>PSPA</t>
  </si>
  <si>
    <t>Purse seine with payao</t>
  </si>
  <si>
    <t>Senne tournante avec payao</t>
  </si>
  <si>
    <t>DBM</t>
  </si>
  <si>
    <t>Double-lined mackerel</t>
  </si>
  <si>
    <t>Thazard-kusara</t>
  </si>
  <si>
    <t>Grammatorcynus bilineatus</t>
  </si>
  <si>
    <t>PSRN</t>
  </si>
  <si>
    <t>Ringnet</t>
  </si>
  <si>
    <t>Filet tournant</t>
  </si>
  <si>
    <t>AMB</t>
  </si>
  <si>
    <t>Greater amberjack</t>
  </si>
  <si>
    <t>Sériole couronnée</t>
  </si>
  <si>
    <t>Seriola dumerili</t>
  </si>
  <si>
    <t>PSRP</t>
  </si>
  <si>
    <t>Ringnet with payao</t>
  </si>
  <si>
    <t>Filet tournant avec payao</t>
  </si>
  <si>
    <t>RAG</t>
  </si>
  <si>
    <t>Indian mackerel</t>
  </si>
  <si>
    <t>Maquereau des Indes</t>
  </si>
  <si>
    <t>Rastrelliger kanagurta</t>
  </si>
  <si>
    <t>PSSP</t>
  </si>
  <si>
    <t>Supply vessel industrial purse seiner</t>
  </si>
  <si>
    <t>Bateau auxiliaire senneur industriel</t>
  </si>
  <si>
    <t>KAK</t>
  </si>
  <si>
    <t>Kanadi kingfish</t>
  </si>
  <si>
    <t>Thazard kanadi</t>
  </si>
  <si>
    <t>Scomberomorus plurilineatus</t>
  </si>
  <si>
    <t>PSSS</t>
  </si>
  <si>
    <t xml:space="preserve">Small purse seines </t>
  </si>
  <si>
    <t>Petites sennes tournantes</t>
  </si>
  <si>
    <t>KOS</t>
  </si>
  <si>
    <t>Korean seerfish</t>
  </si>
  <si>
    <t>Thazard coréen</t>
  </si>
  <si>
    <t>Scomberomorus koreanus</t>
  </si>
  <si>
    <t>SN</t>
  </si>
  <si>
    <t>Setnet</t>
  </si>
  <si>
    <t>Filet calé</t>
  </si>
  <si>
    <t>SPF</t>
  </si>
  <si>
    <t>Longbill spearfish</t>
  </si>
  <si>
    <t>Makaire à rostre</t>
  </si>
  <si>
    <t>Tetrapturus pfluegeri</t>
  </si>
  <si>
    <t>SP</t>
  </si>
  <si>
    <t>Sport fishing</t>
  </si>
  <si>
    <t>Pêche sportive</t>
  </si>
  <si>
    <t>OIL</t>
  </si>
  <si>
    <t>Oilfish</t>
  </si>
  <si>
    <t>Ruvet</t>
  </si>
  <si>
    <t>Ruvettus pretiosus</t>
  </si>
  <si>
    <t>TL</t>
  </si>
  <si>
    <t>Trolling</t>
  </si>
  <si>
    <t>Pêche à la traine</t>
  </si>
  <si>
    <t>LAG</t>
  </si>
  <si>
    <t>Opah</t>
  </si>
  <si>
    <t>Lampris guttatus</t>
  </si>
  <si>
    <t>TLME</t>
  </si>
  <si>
    <t>Trolling (mechanized boats)</t>
  </si>
  <si>
    <t>Pêche à la traine (bateaux motorisés)</t>
  </si>
  <si>
    <t>SAP</t>
  </si>
  <si>
    <t>Pacific saury</t>
  </si>
  <si>
    <t>Saurie</t>
  </si>
  <si>
    <t>Cololabis saira</t>
  </si>
  <si>
    <t>TLNM</t>
  </si>
  <si>
    <t>Trolling (non-mechanized boats)</t>
  </si>
  <si>
    <t>Pêche à la traine (bateaux non-motorisés)</t>
  </si>
  <si>
    <t>BRA</t>
  </si>
  <si>
    <t>Pomfrets nei</t>
  </si>
  <si>
    <t>Castagnoles</t>
  </si>
  <si>
    <t>Brama spp</t>
  </si>
  <si>
    <t>TP</t>
  </si>
  <si>
    <t>Trap</t>
  </si>
  <si>
    <t>Madragues</t>
  </si>
  <si>
    <t>CFW</t>
  </si>
  <si>
    <t>Pompano dolphinfish</t>
  </si>
  <si>
    <t>Dorade</t>
  </si>
  <si>
    <t>Coryphaena equiselis</t>
  </si>
  <si>
    <t>TR</t>
  </si>
  <si>
    <t>Trawl</t>
  </si>
  <si>
    <t>Chaluts</t>
  </si>
  <si>
    <t>RRU</t>
  </si>
  <si>
    <t>Rainbow runner</t>
  </si>
  <si>
    <t>Comète saumon</t>
  </si>
  <si>
    <t>Elagatis bipinnulata</t>
  </si>
  <si>
    <t>RCPR</t>
  </si>
  <si>
    <t>Amounts unloaded / transshipped monitored by the fishing industry (e.g. fishing vessel, canning factory, stevedores, auction hall, processing plants, etc.)</t>
  </si>
  <si>
    <t>SSP</t>
  </si>
  <si>
    <t>Short-billed spearfish</t>
  </si>
  <si>
    <t>Makaire à rostre court</t>
  </si>
  <si>
    <t>Tetrapturus angustirostris</t>
  </si>
  <si>
    <t>RCCS</t>
  </si>
  <si>
    <t>Amounts unloaded / transshipped monitored by The Customs</t>
  </si>
  <si>
    <t>STS</t>
  </si>
  <si>
    <t>Streaked seerfish</t>
  </si>
  <si>
    <t>Thazard cirrus</t>
  </si>
  <si>
    <t>Scomberomorus lineolatus</t>
  </si>
  <si>
    <t>RCPA</t>
  </si>
  <si>
    <t>Amounts unloaded / transshipped monitored by Port Authorities or other government offices (compliance data)</t>
  </si>
  <si>
    <t>BIP</t>
  </si>
  <si>
    <t>Striped bonito</t>
  </si>
  <si>
    <t>Bonite oriental</t>
  </si>
  <si>
    <t>Sarda orientalis</t>
  </si>
  <si>
    <t>RCRS</t>
  </si>
  <si>
    <t>Amounts unloaded / transshipped monitored by staff from research institutions (sampling survey or total enumeration)</t>
  </si>
  <si>
    <t>WAH</t>
  </si>
  <si>
    <t>Wahoo</t>
  </si>
  <si>
    <t>Thazard-bâtard</t>
  </si>
  <si>
    <t>Acanthocybium solandri</t>
  </si>
  <si>
    <t>RCOB</t>
  </si>
  <si>
    <t>Amounts unloaded / transshipped monitored by observers (compliance data)</t>
  </si>
  <si>
    <t>DILG</t>
  </si>
  <si>
    <t>Discard levels monitored by the vessel skipper / fishing master (Logbook)</t>
  </si>
  <si>
    <t>DIOB</t>
  </si>
  <si>
    <t>Discard levels monitored by scientific observers</t>
  </si>
  <si>
    <t>DIEL</t>
  </si>
  <si>
    <t>Discard levels monitored through electronic means (e.g. video system, etc.)</t>
  </si>
  <si>
    <t>FCGV</t>
  </si>
  <si>
    <t>Number of crafts actually operated monitored by Port Authorities or other government offices (compliance data)</t>
  </si>
  <si>
    <t>FCRS</t>
  </si>
  <si>
    <t>Number of crafts actually operated monitored at the landing place by staff from research institutions (research data)</t>
  </si>
  <si>
    <t>FCRG</t>
  </si>
  <si>
    <t>Number of crafts registered at the Ministry of Fisheries or other government institutions (Ministry of Transportation, etc.)</t>
  </si>
  <si>
    <t>CELG</t>
  </si>
  <si>
    <t>Catch-and-effort Logbooks completed onboard by the captain/fishing master of the ship (detailed data)</t>
  </si>
  <si>
    <t>CETR</t>
  </si>
  <si>
    <t>CONTACT</t>
  </si>
  <si>
    <t>NOM</t>
  </si>
  <si>
    <t>SOUMISSION</t>
  </si>
  <si>
    <t>Catch-and-effort Interviews completed at the end of each trip by the captain / fishing master of the ship (aggregated data)</t>
  </si>
  <si>
    <t>CEOB</t>
  </si>
  <si>
    <t>Catch-and-effort data collected by scientific observers</t>
  </si>
  <si>
    <t>CERS</t>
  </si>
  <si>
    <t>Catch-and-effort data collected at the landing place by staff from research institutions (sampling survey or total enumeration)</t>
  </si>
  <si>
    <t>CEEL</t>
  </si>
  <si>
    <t>Catch-and-effort data monitored through electronic means (e.g. video system, etc.)</t>
  </si>
  <si>
    <t>SFLG</t>
  </si>
  <si>
    <t>Individual fish lengths /weights monitored by fishermen during the fishing trip (recorded in a logbook)</t>
  </si>
  <si>
    <t>SFPR</t>
  </si>
  <si>
    <t>Individual fish lengths /weights monitored at the end of the trip by the fishing industry (e.g. fishing vessel, canning factory, stevedores, auction hall, processing plants, etc.)</t>
  </si>
  <si>
    <t>SFRS</t>
  </si>
  <si>
    <t>Individual fish lengths /weights monitored at the landing place by staff from research institutions</t>
  </si>
  <si>
    <t>SFOB</t>
  </si>
  <si>
    <t>Individual fish lengths /weights monitored by scientific observers during the fishing trip</t>
  </si>
  <si>
    <t>SFEL</t>
  </si>
  <si>
    <t>Individual fish lengths /weights monitored through electronic means (e.g. video system, etc.)</t>
  </si>
  <si>
    <t>PROCESS</t>
  </si>
  <si>
    <t>RCNO</t>
  </si>
  <si>
    <t>Retained catches not estimated (reported landings not verified by government staff)</t>
  </si>
  <si>
    <t>RCTE</t>
  </si>
  <si>
    <t>Total enumeration of retained catches (no estimation required; landings monitored through/verified by government staff)</t>
  </si>
  <si>
    <t>RCLG</t>
  </si>
  <si>
    <t>Retained catches estimated by raising the amounts recorded in the vessel logbooks to the total catches unloaded / transshipped for the trip (or alternative time-area strata)</t>
  </si>
  <si>
    <t>RCLS</t>
  </si>
  <si>
    <t>Retained catches estimated by raising the amounts resulting from adjusting the species composition in the logbooks by using the size samples available to the total catches unloaded / transshipped for each trip (or alternative time-area strata)</t>
  </si>
  <si>
    <t>RCSB</t>
  </si>
  <si>
    <t>Retained catches not available; RC estimated by using the retained catches available from other years (substitution scheme)</t>
  </si>
  <si>
    <t>RCES</t>
  </si>
  <si>
    <t>Retained catches estimated by multiplying average CPUE values obtained through a sample survey (at the landing place) by the total effort recorded in each time-area stratum  (total enumeration of effort in time and space; sampling of catches in time and/or space)</t>
  </si>
  <si>
    <t>RCSS</t>
  </si>
  <si>
    <t>Retained catches estimated by multiplying average CPUE values obtained through a sample survey (at the landing place) by the total effort estimated for each time-area stratum  (sampling of effort in time and/or space; sampling of catches in time and/or space)</t>
  </si>
  <si>
    <t>DINO</t>
  </si>
  <si>
    <t>Discard levels not estimated (reported discards not verified by government staff)</t>
  </si>
  <si>
    <t>DITE</t>
  </si>
  <si>
    <t>Total enumeration of discards (no estimation required; discards monitored through /verified by observers)</t>
  </si>
  <si>
    <t>Discard levels estimated by multiplying average DPUE values obtained from the data reported (not verified by government staff) by the total effort recorded in each time-area stratum (total enumeration of effort)</t>
  </si>
  <si>
    <t>DILS</t>
  </si>
  <si>
    <t>Discard levels estimated by multiplying average DPUE values obtained from the data reported (not verified by government staff) by the total effort estimated for each time-area stratum (sampling of effort in time and/or space)</t>
  </si>
  <si>
    <t>DISB</t>
  </si>
  <si>
    <t>Discard levels not available; DI estimated by using the discards available from other years (substitution scheme)</t>
  </si>
  <si>
    <t>DIES</t>
  </si>
  <si>
    <t>Discard levels estimated by multiplying average DPUE values obtained through a sample survey (at-sea) by the total effort recorded in each time-area stratum  (total enumeration of effort in time and space; sampling of discards in time and/or space)</t>
  </si>
  <si>
    <t>DISS</t>
  </si>
  <si>
    <t>Discard levels estimated by multiplying average DPUE values obtained through a sample survey (at-sea) by the total effort estimated for each time-area stratum  (sampling of effort in time and/or space; sampling of discards in time and/or space)</t>
  </si>
  <si>
    <t>FCNO</t>
  </si>
  <si>
    <t>Number of fishing crafts active not estimated (total number of crafts registered for the year used)</t>
  </si>
  <si>
    <t>FCTE</t>
  </si>
  <si>
    <t>Total enumeration of fishing crafts operated (no estimation required; number of fishing crafts operated monitored through /verified by government staff)</t>
  </si>
  <si>
    <t>FCOR</t>
  </si>
  <si>
    <t>Number of active fishing crafts estimated by multiplying the proportion that the number of fishing crafts operated make out of the total number of crafts registered for the period, obtained through sampling, by the total amount of fishing craft registered for that same period (sampling of number of fishing crafts operated in time and/or space)</t>
  </si>
  <si>
    <t>FCSS</t>
  </si>
  <si>
    <t>Number of active fishing crafts estimated by multiplying the average number of fishing crafts operated by time-area stratum, obtained through a sampling survey, by the total number of strata operated (sampling of number of fishing crafts operated in time and/or space)</t>
  </si>
  <si>
    <t>FCSB</t>
  </si>
  <si>
    <t>Number of active fishing crafts not available; FC estimated by using the number of crafts available from other years (substitution scheme)</t>
  </si>
  <si>
    <t>CENO</t>
  </si>
  <si>
    <t>Catch-and-effort not estimated (reported catch-and-effort not verified by government staff)</t>
  </si>
  <si>
    <t>CETE</t>
  </si>
  <si>
    <t>Total enumeration of catch-and-effort (no estimation required; catch-and-effort monitored through/verified by government staff (e.g. observers))</t>
  </si>
  <si>
    <t>CELS</t>
  </si>
  <si>
    <t>Catch-and-effort by species adjusted by using the size samples available for each trip (or alternative time-area strata)</t>
  </si>
  <si>
    <t>CESB</t>
  </si>
  <si>
    <t>Catch-and-effort not available for the stratum; CE estimated by using the catch-and-effort available in neighboring time-area strata (substitution scheme)</t>
  </si>
  <si>
    <t>CEES</t>
  </si>
  <si>
    <t>Catch-and-effort estimated by multiplying average CPUE values obtained through a sample survey (at the landing place) by the total effort recorded in each time-area stratum  (total enumeration of effort in time and space; sampling of catches in time and/or space)</t>
  </si>
  <si>
    <t>CESS</t>
  </si>
  <si>
    <t>Catch-and-effort estimated by multiplying average CPUE values obtained through a sample survey (at the landing place) by the total effort estimated for each time-area stratum  (sampling of effort in time and/or space; sampling of catches in time and/or space)</t>
  </si>
  <si>
    <t>SFNO</t>
  </si>
  <si>
    <t>Length / weight frequency data not verified  (fish lengths/weights reported by the fishing sector not verified by government staff)</t>
  </si>
  <si>
    <t>SFTE</t>
  </si>
  <si>
    <t>Total enumeration of individual fish lengths /weights (no estimation required; fish lengths / weights monitored through/verified by government staff)</t>
  </si>
  <si>
    <t>SFSP</t>
  </si>
  <si>
    <t>Length / weight frequency samples not processed (original samples collected by government staff or scientific observers)</t>
  </si>
  <si>
    <t>Length / weight frequency samples raised to represent the catches in the sampling unit (e.g. the fish compartment, the fishing vessel, etc.)</t>
  </si>
  <si>
    <t>Length / weight frequency samples raised to represent the total catches in the stratum (catch-at-size)</t>
  </si>
  <si>
    <t>UP</t>
  </si>
  <si>
    <t>Statistics partially raised; coverage unknown</t>
  </si>
  <si>
    <t>Données partialement élevées; couverture inconnue</t>
  </si>
  <si>
    <t>UR</t>
  </si>
  <si>
    <t>Statistics raised; coverage unknown</t>
  </si>
  <si>
    <t>Données élevées; couverture inconnue</t>
  </si>
  <si>
    <t>US</t>
  </si>
  <si>
    <t>Statistics not raised; coverage unknown</t>
  </si>
  <si>
    <t>Données non-élevées; couverture inconnue</t>
  </si>
  <si>
    <t>UT</t>
  </si>
  <si>
    <t>Total enumeration</t>
  </si>
  <si>
    <t>Énumération totale</t>
  </si>
  <si>
    <t>UU</t>
  </si>
  <si>
    <t>Not sampled</t>
  </si>
  <si>
    <t>Non-échantillonné</t>
  </si>
  <si>
    <t>B0</t>
  </si>
  <si>
    <t>Less than 5% of the boats covered</t>
  </si>
  <si>
    <t>Moins de 5% des bateaux échantillonnés</t>
  </si>
  <si>
    <t>B1</t>
  </si>
  <si>
    <t>Between 5%-9% of the boats covered</t>
  </si>
  <si>
    <t>Entre 5%-9% des bateaux échantillonnés</t>
  </si>
  <si>
    <t>B3</t>
  </si>
  <si>
    <t>Between 10%-29% of the boats covered</t>
  </si>
  <si>
    <t>Entre 10%-29% des bateaux échantillonnés</t>
  </si>
  <si>
    <t>B7</t>
  </si>
  <si>
    <t>Between 30%-69% of the boats covered</t>
  </si>
  <si>
    <t>Entre 30%-69% des bateaux échantillonnés</t>
  </si>
  <si>
    <t>B9</t>
  </si>
  <si>
    <t>70% or more of the boats covered</t>
  </si>
  <si>
    <t>70% ou plus des bateaux échantillonnés</t>
  </si>
  <si>
    <t>T0</t>
  </si>
  <si>
    <t>Less than 5% of the trips covered</t>
  </si>
  <si>
    <t>Moins de 5% des marées échantillonnées</t>
  </si>
  <si>
    <t>T1</t>
  </si>
  <si>
    <t>Between 5%-9% of the trips covered</t>
  </si>
  <si>
    <t>Entre 5%-9% des marées échantillonnées</t>
  </si>
  <si>
    <t>T3</t>
  </si>
  <si>
    <t>Between 10%-29% of the trips covered</t>
  </si>
  <si>
    <t>Entre 10%-29% des marées échantillonnées</t>
  </si>
  <si>
    <t>T7</t>
  </si>
  <si>
    <t>Between 30%-69% of the trips covered</t>
  </si>
  <si>
    <t>Entre 30%-69% des marées échantillonnées</t>
  </si>
  <si>
    <t>T9</t>
  </si>
  <si>
    <t>70% or more of the trips covered</t>
  </si>
  <si>
    <t>70% ou plus des marées échantillonnées</t>
  </si>
  <si>
    <t>N0</t>
  </si>
  <si>
    <t>Less than 5% of the fish sampled (in number)</t>
  </si>
  <si>
    <t>Moins de 5% des poissons échantillonnés (en nombre)</t>
  </si>
  <si>
    <t>N1</t>
  </si>
  <si>
    <t>Between 5%-9% of the fish sampled (in number)</t>
  </si>
  <si>
    <t>Entre 5%-9% des poissons échantillonnés (en nombre)</t>
  </si>
  <si>
    <t>N3</t>
  </si>
  <si>
    <t>Between 10%-29% of the fish sampled (in number)</t>
  </si>
  <si>
    <t>Entre 10%-29% des poissons échantillonnés (en nombre)</t>
  </si>
  <si>
    <t>N7</t>
  </si>
  <si>
    <t>Between 30%-69% of the fish sampled (in number)</t>
  </si>
  <si>
    <t>Entre 30%-69% des poissons échantillonnés (en nombre)</t>
  </si>
  <si>
    <t>N9</t>
  </si>
  <si>
    <t>70% or more of the fish sampled (in number)</t>
  </si>
  <si>
    <t>70% ou plus des poissons échantillonnés (en nombre)</t>
  </si>
  <si>
    <t>W0</t>
  </si>
  <si>
    <t>Less than 5% of the fish sampled (in weight)</t>
  </si>
  <si>
    <t>Moins de 5% des poissons échantillonnés (en poids)</t>
  </si>
  <si>
    <t>W1</t>
  </si>
  <si>
    <t>Between 5%-9% of the fish sampled (in weight)</t>
  </si>
  <si>
    <t>Entre 5%-9% des poissons échantillonnés (en poids)</t>
  </si>
  <si>
    <t>W3</t>
  </si>
  <si>
    <t>Between 10%-29% of the fish sampled (in weight)</t>
  </si>
  <si>
    <t>Entre 10%-29% des poissons échantillonnés (en poids)</t>
  </si>
  <si>
    <t>W7</t>
  </si>
  <si>
    <t>Between 30%-69% of the fish sampled (in weight)</t>
  </si>
  <si>
    <t>Entre 30%-69% des poissons échantillonnés (en poids)</t>
  </si>
  <si>
    <t>W9</t>
  </si>
  <si>
    <t>70% or more of the fish sampled (in weight)</t>
  </si>
  <si>
    <t>70% ou plus des poissons échantillonnés (en poids)</t>
  </si>
  <si>
    <t>FH</t>
  </si>
  <si>
    <t>Number of hours fishing</t>
  </si>
  <si>
    <t>SH</t>
  </si>
  <si>
    <t>Number of hours searching</t>
  </si>
  <si>
    <t>HK</t>
  </si>
  <si>
    <t>FD</t>
  </si>
  <si>
    <t>Number of fishing days</t>
  </si>
  <si>
    <t>NP</t>
  </si>
  <si>
    <t>TARGETSPECIES</t>
  </si>
  <si>
    <t>DATASOURCES</t>
  </si>
  <si>
    <t>CODE</t>
  </si>
  <si>
    <t>DATAPROCESSING</t>
  </si>
  <si>
    <t>FLAGCOUNTRY</t>
  </si>
  <si>
    <t>SPECIES</t>
  </si>
  <si>
    <t>ESTIMATION</t>
  </si>
  <si>
    <t>Number of hooks</t>
  </si>
  <si>
    <t>Nombre de hameçons</t>
  </si>
  <si>
    <t>NT</t>
  </si>
  <si>
    <t>Net-days</t>
  </si>
  <si>
    <t>Nombre de jours de pêche accumulées pour les filets déployées</t>
  </si>
  <si>
    <t>Number of days at sea</t>
  </si>
  <si>
    <t>Nombre de jours en mer</t>
  </si>
  <si>
    <t>Number of trips</t>
  </si>
  <si>
    <t>Nombre de marées</t>
  </si>
  <si>
    <t>Nombre de jours de pêche</t>
  </si>
  <si>
    <t>SD</t>
  </si>
  <si>
    <t>Number of searching days</t>
  </si>
  <si>
    <t>Nombre de jours d'exploration</t>
  </si>
  <si>
    <t>BO</t>
  </si>
  <si>
    <t>Number of boats</t>
  </si>
  <si>
    <t>Nombre de bateaux</t>
  </si>
  <si>
    <t>MH</t>
  </si>
  <si>
    <t>Man-hours</t>
  </si>
  <si>
    <t>Nombre d'heures de pêche accumulées pour l'équipage</t>
  </si>
  <si>
    <t>NS</t>
  </si>
  <si>
    <t>Number of sets</t>
  </si>
  <si>
    <t>Nombre de coups de filet</t>
  </si>
  <si>
    <t>LH</t>
  </si>
  <si>
    <t>Line-hours</t>
  </si>
  <si>
    <t>Nombre d’heures de pêche accumulées pour les lignes déployées</t>
  </si>
  <si>
    <t>Number of hours at sea</t>
  </si>
  <si>
    <t>Nombre d'heures en mer</t>
  </si>
  <si>
    <t>Nombre d'heures de pêche</t>
  </si>
  <si>
    <t>ST</t>
  </si>
  <si>
    <t>Number of hours fishing standardized</t>
  </si>
  <si>
    <t>Nombre d'heures de pêche (standardisé)</t>
  </si>
  <si>
    <t>SR</t>
  </si>
  <si>
    <t>Nombre d'heures d'exploration</t>
  </si>
  <si>
    <t>Number of lines (poles)</t>
  </si>
  <si>
    <t>Nombre de cannes</t>
  </si>
  <si>
    <t>MD</t>
  </si>
  <si>
    <t>Men-days</t>
  </si>
  <si>
    <t>Nombre de jours de pêche accumulées pour l'équipage</t>
  </si>
  <si>
    <t>GENERAL INFORMATION</t>
  </si>
  <si>
    <t>NAME</t>
  </si>
  <si>
    <t>REPORTING COUNTRY</t>
  </si>
  <si>
    <t>E-MAIL</t>
  </si>
  <si>
    <t>PHONE No.</t>
  </si>
  <si>
    <t>FLAG COUNTRY</t>
  </si>
  <si>
    <t>SOURCES</t>
  </si>
  <si>
    <t>YEAR</t>
  </si>
  <si>
    <t>FISHERY</t>
  </si>
  <si>
    <t>COVERAGE</t>
  </si>
  <si>
    <t>DISPLAY LISTS IN</t>
  </si>
  <si>
    <t>SUBMISSION</t>
  </si>
  <si>
    <t>CATCHUNIT</t>
  </si>
  <si>
    <t>KG</t>
  </si>
  <si>
    <t>MT</t>
  </si>
  <si>
    <t>NO</t>
  </si>
  <si>
    <t>TSPC</t>
  </si>
  <si>
    <t>DSO</t>
  </si>
  <si>
    <t>DPR</t>
  </si>
  <si>
    <t>COV</t>
  </si>
  <si>
    <t>FLG</t>
  </si>
  <si>
    <t>FIS</t>
  </si>
  <si>
    <t>SPC</t>
  </si>
  <si>
    <t>EST</t>
  </si>
  <si>
    <t>EFT</t>
  </si>
  <si>
    <t>CUN</t>
  </si>
  <si>
    <t>Effort</t>
  </si>
  <si>
    <t>Pavillon</t>
  </si>
  <si>
    <t>DEFINITION OF WORKSHEET NAMES</t>
  </si>
  <si>
    <t>ReadMe</t>
  </si>
  <si>
    <t>Sheet / Feuil</t>
  </si>
  <si>
    <t>ENGLISH DESCRIPTION</t>
  </si>
  <si>
    <t>DESCRIPTION français</t>
  </si>
  <si>
    <t>CE_GRID</t>
  </si>
  <si>
    <t>Close table and return to ReadMe</t>
  </si>
  <si>
    <t>Close table and return to Form</t>
  </si>
  <si>
    <t>OCEAN</t>
  </si>
  <si>
    <t>Océan</t>
  </si>
  <si>
    <t>PAC</t>
  </si>
  <si>
    <t>ATL</t>
  </si>
  <si>
    <t>MED</t>
  </si>
  <si>
    <t>OCE</t>
  </si>
  <si>
    <t>FISH PROCESSING</t>
  </si>
  <si>
    <t>FPRV</t>
  </si>
  <si>
    <t>FISH PRESERVATION</t>
  </si>
  <si>
    <t>Preservaton du Poisson</t>
  </si>
  <si>
    <t xml:space="preserve"> Traitement du poisson</t>
  </si>
  <si>
    <t>FPR</t>
  </si>
  <si>
    <t>FISH PERSERVATION</t>
  </si>
  <si>
    <t>PRODUCT PRICING LOCATION</t>
  </si>
  <si>
    <t>LIEU DE LA TARIFICATION</t>
  </si>
  <si>
    <t>PRODUCT DESTINATION</t>
  </si>
  <si>
    <t>DESTINATION MARKET</t>
  </si>
  <si>
    <t>WEIGHT UNITS</t>
  </si>
  <si>
    <t>CURRENCY</t>
  </si>
  <si>
    <t>MONNAIE</t>
  </si>
  <si>
    <t>PRICE</t>
  </si>
  <si>
    <t>PRIX</t>
  </si>
  <si>
    <t>FR</t>
  </si>
  <si>
    <t>FB</t>
  </si>
  <si>
    <t>CA</t>
  </si>
  <si>
    <t>SK</t>
  </si>
  <si>
    <t>DR</t>
  </si>
  <si>
    <t>FF</t>
  </si>
  <si>
    <t>RE</t>
  </si>
  <si>
    <t>PC</t>
  </si>
  <si>
    <t>FO</t>
  </si>
  <si>
    <t>FM</t>
  </si>
  <si>
    <t>SL</t>
  </si>
  <si>
    <t>SF</t>
  </si>
  <si>
    <t>UN</t>
  </si>
  <si>
    <t>TYPE OF PRODUCT</t>
  </si>
  <si>
    <t>RD</t>
  </si>
  <si>
    <t>GG</t>
  </si>
  <si>
    <t>HD</t>
  </si>
  <si>
    <t>PD</t>
  </si>
  <si>
    <t>HT</t>
  </si>
  <si>
    <t>FL</t>
  </si>
  <si>
    <t>IC</t>
  </si>
  <si>
    <t>CL</t>
  </si>
  <si>
    <t>DF</t>
  </si>
  <si>
    <r>
      <t>Cold storage below -30</t>
    </r>
    <r>
      <rPr>
        <sz val="9"/>
        <color indexed="8"/>
        <rFont val="Courier New"/>
        <family val="3"/>
      </rPr>
      <t>°</t>
    </r>
  </si>
  <si>
    <t>BR</t>
  </si>
  <si>
    <t>RW</t>
  </si>
  <si>
    <t>MK</t>
  </si>
  <si>
    <t>PR</t>
  </si>
  <si>
    <t>LM</t>
  </si>
  <si>
    <t>KL12</t>
  </si>
  <si>
    <t>KL15</t>
  </si>
  <si>
    <t>KL18</t>
  </si>
  <si>
    <t>KL03</t>
  </si>
  <si>
    <t>KL05</t>
  </si>
  <si>
    <t>K1G2</t>
  </si>
  <si>
    <t>K1G5</t>
  </si>
  <si>
    <t>K1G8</t>
  </si>
  <si>
    <t>K003</t>
  </si>
  <si>
    <t>K005</t>
  </si>
  <si>
    <t>K010</t>
  </si>
  <si>
    <t>K015</t>
  </si>
  <si>
    <t>K030</t>
  </si>
  <si>
    <t>KALL</t>
  </si>
  <si>
    <t>IOTC FORM 7PR: FISH MARKET PRICES</t>
  </si>
  <si>
    <t>COMMENTS ON SPECIFIC PRODUCT</t>
  </si>
  <si>
    <t>PPL</t>
  </si>
  <si>
    <t>TYPR</t>
  </si>
  <si>
    <t>SZCA</t>
  </si>
  <si>
    <t>SIZE CATEGORY</t>
  </si>
  <si>
    <t>WUN</t>
  </si>
  <si>
    <t>WEIGHT UNIT</t>
  </si>
  <si>
    <t>PDES</t>
  </si>
  <si>
    <t>CUR</t>
  </si>
  <si>
    <t>MARKET PRICE - Form for data input</t>
  </si>
  <si>
    <t>PERIOD</t>
  </si>
  <si>
    <t>FROM</t>
  </si>
  <si>
    <t>TO</t>
  </si>
  <si>
    <t>Year/Année</t>
  </si>
  <si>
    <t>Month/Mois</t>
  </si>
  <si>
    <r>
      <t>Stockage réfrigéré au-dessous de -30</t>
    </r>
    <r>
      <rPr>
        <sz val="9"/>
        <color indexed="8"/>
        <rFont val="Courier New"/>
        <family val="3"/>
      </rPr>
      <t>°</t>
    </r>
  </si>
  <si>
    <r>
      <t>Prix marché des poissons</t>
    </r>
    <r>
      <rPr>
        <b/>
        <i/>
        <sz val="10"/>
        <rFont val="Arial"/>
        <family val="2"/>
      </rPr>
      <t>-</t>
    </r>
    <r>
      <rPr>
        <sz val="10"/>
        <rFont val="Arial"/>
        <family val="2"/>
      </rPr>
      <t xml:space="preserve"> Formulaire pour la saisie des données</t>
    </r>
  </si>
  <si>
    <r>
      <t>Destination du Produit</t>
    </r>
    <r>
      <rPr>
        <sz val="12"/>
        <rFont val="Times New Roman"/>
        <family val="1"/>
      </rPr>
      <t xml:space="preserve"> - </t>
    </r>
  </si>
  <si>
    <r>
      <t xml:space="preserve">Traitement de poisson </t>
    </r>
    <r>
      <rPr>
        <sz val="10"/>
        <rFont val="Arial"/>
        <family val="2"/>
      </rPr>
      <t>- Type de traitement pour laquelle le prix est rapporter</t>
    </r>
  </si>
  <si>
    <r>
      <t>LIEU DE LA TARIFICATION</t>
    </r>
    <r>
      <rPr>
        <sz val="10"/>
        <rFont val="Arial"/>
        <family val="2"/>
      </rPr>
      <t xml:space="preserve"> - </t>
    </r>
  </si>
  <si>
    <r>
      <t>Pavillon</t>
    </r>
    <r>
      <rPr>
        <sz val="10"/>
        <rFont val="Arial"/>
        <family val="2"/>
      </rPr>
      <t xml:space="preserve"> - Pavillon des pays</t>
    </r>
  </si>
  <si>
    <r>
      <t>Type de produit</t>
    </r>
    <r>
      <rPr>
        <sz val="10"/>
        <rFont val="Arial"/>
        <family val="2"/>
      </rPr>
      <t xml:space="preserve"> - </t>
    </r>
  </si>
  <si>
    <r>
      <t>Espèce</t>
    </r>
    <r>
      <rPr>
        <sz val="10"/>
        <rFont val="Arial"/>
        <family val="2"/>
      </rPr>
      <t xml:space="preserve"> - Liste des espèces</t>
    </r>
  </si>
  <si>
    <r>
      <t>Effort</t>
    </r>
    <r>
      <rPr>
        <sz val="10"/>
        <rFont val="Arial"/>
        <family val="2"/>
      </rPr>
      <t>- Le Océan où les especes sont capturé</t>
    </r>
  </si>
  <si>
    <r>
      <t>Unités de Capture</t>
    </r>
    <r>
      <rPr>
        <sz val="10"/>
        <rFont val="Arial"/>
        <family val="2"/>
      </rPr>
      <t xml:space="preserve"> - Unités utilisé pour le capture</t>
    </r>
  </si>
  <si>
    <r>
      <t>Monnaie</t>
    </r>
    <r>
      <rPr>
        <sz val="10"/>
        <rFont val="Arial"/>
        <family val="2"/>
      </rPr>
      <t xml:space="preserve"> - Type de monnaie utilisées</t>
    </r>
  </si>
  <si>
    <r>
      <t>Catégorie de taille</t>
    </r>
    <r>
      <rPr>
        <sz val="10"/>
        <rFont val="Arial"/>
        <family val="2"/>
      </rPr>
      <t xml:space="preserve"> - Type de catégorie de taille utilisées</t>
    </r>
  </si>
  <si>
    <r>
      <t>Product Destination</t>
    </r>
    <r>
      <rPr>
        <sz val="10"/>
        <rFont val="Arial"/>
        <family val="2"/>
      </rPr>
      <t xml:space="preserve"> - Destination of fresh or frozen fish products</t>
    </r>
  </si>
  <si>
    <r>
      <t>Fish Preservation</t>
    </r>
    <r>
      <rPr>
        <sz val="10"/>
        <rFont val="Arial"/>
        <family val="2"/>
      </rPr>
      <t xml:space="preserve"> - Ways the product is preserved</t>
    </r>
  </si>
  <si>
    <r>
      <t>Fish Processing</t>
    </r>
    <r>
      <rPr>
        <sz val="10"/>
        <rFont val="Arial"/>
        <family val="2"/>
      </rPr>
      <t xml:space="preserve"> - Type of processing for which prices are reported</t>
    </r>
  </si>
  <si>
    <r>
      <t>Product Pricing Location</t>
    </r>
    <r>
      <rPr>
        <sz val="10"/>
        <rFont val="Arial"/>
        <family val="2"/>
      </rPr>
      <t xml:space="preserve"> - The location where the price value of the fish product is assigned</t>
    </r>
  </si>
  <si>
    <r>
      <t>Flag</t>
    </r>
    <r>
      <rPr>
        <sz val="10"/>
        <rFont val="Arial"/>
        <family val="2"/>
      </rPr>
      <t xml:space="preserve"> - Flags of countries</t>
    </r>
  </si>
  <si>
    <r>
      <t>Type of product</t>
    </r>
    <r>
      <rPr>
        <sz val="10"/>
        <rFont val="Arial"/>
        <family val="2"/>
      </rPr>
      <t xml:space="preserve"> - The type of product which price are reported</t>
    </r>
  </si>
  <si>
    <r>
      <t>Species</t>
    </r>
    <r>
      <rPr>
        <sz val="10"/>
        <rFont val="Arial"/>
        <family val="2"/>
      </rPr>
      <t xml:space="preserve"> -List of species </t>
    </r>
  </si>
  <si>
    <r>
      <t>Ocean</t>
    </r>
    <r>
      <rPr>
        <sz val="10"/>
        <rFont val="Arial"/>
        <family val="2"/>
      </rPr>
      <t xml:space="preserve"> - The ocean in which the specimens are caught</t>
    </r>
  </si>
  <si>
    <r>
      <t>Weight Units</t>
    </r>
    <r>
      <rPr>
        <sz val="10"/>
        <rFont val="Arial"/>
        <family val="2"/>
      </rPr>
      <t xml:space="preserve"> - Units of wieght used</t>
    </r>
  </si>
  <si>
    <r>
      <t xml:space="preserve">Currency </t>
    </r>
    <r>
      <rPr>
        <sz val="10"/>
        <rFont val="Arial"/>
        <family val="2"/>
      </rPr>
      <t xml:space="preserve"> - Type of Currency used</t>
    </r>
  </si>
  <si>
    <r>
      <t xml:space="preserve">Size Category </t>
    </r>
    <r>
      <rPr>
        <sz val="10"/>
        <rFont val="Arial"/>
        <family val="2"/>
      </rPr>
      <t xml:space="preserve"> - Type of size category used</t>
    </r>
  </si>
  <si>
    <t xml:space="preserve">THE TABLE BELOW CONTAINS LINKS TO SEPARATE WORKSHEETS, EACH CONTAINING LISTS OF IOTC CODES AND ENGLISH AND FRENCH DESCRIPTIONS, TO BE USED WHEN INPUTTING DATA IN THE FORM. </t>
  </si>
  <si>
    <t>LE TABLEAU CI DESSOUS CONTIENT LES LIENS POUR LES DIFFERENTES FEUILLES, CONTENANT LES LISTES DES CODES DE LA CTOI ET LEUR DESCRIPTION EN ANGLAIS ET EN FRANCAIS, A UTILISER LORS DE LA SAISIE DES DONNEES DANS LE FORMULAIRE.</t>
  </si>
  <si>
    <t>NOTE THAT THE IOTC CODE LISTS ARE NOT COMPREHENSIVE IN ALL CASES. REFER TO THE DOCUMENT "GENERAL NOTES ON THE USE OF IOTC FORMS" FOR MORE INFORMATION ABOUT HOW TO INPUT NEW CODES AND USE THEM IN THE FORM</t>
  </si>
  <si>
    <t>CADRANT</t>
  </si>
  <si>
    <t>AFFICHER LES LISTES EN</t>
  </si>
  <si>
    <t>DEPUIS</t>
  </si>
  <si>
    <t>PAYS DECLARANT</t>
  </si>
  <si>
    <t>PAVILLON D’ORIGINE</t>
  </si>
  <si>
    <t>ANNÉE</t>
  </si>
  <si>
    <t>UNITÉ DE POIDS</t>
  </si>
  <si>
    <t>COMMENTAIRES</t>
  </si>
  <si>
    <t>TYPE DE PRODUIT</t>
  </si>
  <si>
    <t>NOM SCIENTIFIQUE</t>
  </si>
  <si>
    <t>CATÉGORIE DE TAILLE</t>
  </si>
  <si>
    <t>TYPE DE DONNEES</t>
  </si>
  <si>
    <t>CONSERVATION DU POISSON</t>
  </si>
  <si>
    <t>TRANSFORMATION DU POISSON</t>
  </si>
  <si>
    <t>DESTINATION DU PRODUIT</t>
  </si>
  <si>
    <t>ESPÈCE</t>
  </si>
  <si>
    <t>MARCHÉ DE DESTINATION</t>
  </si>
  <si>
    <t>MOIS</t>
  </si>
  <si>
    <t>COMMENTAIRES SUR UN PRODUIT SPECIFIQUE</t>
  </si>
  <si>
    <t>INFORMATION GÉNÉRALES</t>
  </si>
  <si>
    <t>OCÉAN</t>
  </si>
  <si>
    <t>AU</t>
  </si>
  <si>
    <t>ESP</t>
  </si>
  <si>
    <t>FRA</t>
  </si>
  <si>
    <t>GBR</t>
  </si>
  <si>
    <t>ITA</t>
  </si>
  <si>
    <t>PRT</t>
  </si>
  <si>
    <r>
      <t>Source Des Données</t>
    </r>
    <r>
      <rPr>
        <sz val="10"/>
        <rFont val="Arial"/>
        <family val="2"/>
      </rPr>
      <t xml:space="preserve"> - Sources d'information</t>
    </r>
  </si>
  <si>
    <r>
      <rPr>
        <sz val="10"/>
        <rFont val="Arial"/>
        <family val="2"/>
      </rPr>
      <t xml:space="preserve"> -Refer to the document </t>
    </r>
    <r>
      <rPr>
        <u/>
        <sz val="10"/>
        <color indexed="12"/>
        <rFont val="Arial"/>
        <family val="2"/>
      </rPr>
      <t xml:space="preserve">"GENERAL NOTES ON THE USE OF IOTC FORMS" </t>
    </r>
    <r>
      <rPr>
        <sz val="10"/>
        <rFont val="Arial"/>
        <family val="2"/>
      </rPr>
      <t>if this is the first time that you use IOTC Forms. This document is intended to guide you through when using the IOTC Excel Forms.</t>
    </r>
  </si>
  <si>
    <r>
      <rPr>
        <sz val="10"/>
        <rFont val="Arial"/>
        <family val="2"/>
      </rPr>
      <t xml:space="preserve"> -Veuillez vous référer au document</t>
    </r>
    <r>
      <rPr>
        <u/>
        <sz val="10"/>
        <color indexed="12"/>
        <rFont val="Arial"/>
        <family val="2"/>
      </rPr>
      <t xml:space="preserve"> « REMARQUES GENERALES SUR L’UTILISATION DES FORMULAIRES CTOI » </t>
    </r>
    <r>
      <rPr>
        <sz val="10"/>
        <rFont val="Arial"/>
        <family val="2"/>
      </rPr>
      <t>si c’est la première fois que vous utilisez les formulaires CTOI. Ce document vous guidera lors de l’utilisation des formulaires Excel de la CTOI.</t>
    </r>
  </si>
  <si>
    <r>
      <rPr>
        <sz val="10"/>
        <rFont val="Arial"/>
        <family val="2"/>
      </rPr>
      <t xml:space="preserve"> -Refer to the document </t>
    </r>
    <r>
      <rPr>
        <u/>
        <sz val="10"/>
        <color indexed="12"/>
        <rFont val="Arial"/>
        <family val="2"/>
      </rPr>
      <t xml:space="preserve">"GUIDELINES FOR THE REPORTING OF FISHERIES STATISTICS TO THE IOTC" </t>
    </r>
    <r>
      <rPr>
        <sz val="10"/>
        <rFont val="Arial"/>
        <family val="2"/>
      </rPr>
      <t>for more information about IOTC data requirements.</t>
    </r>
  </si>
  <si>
    <r>
      <rPr>
        <sz val="10"/>
        <rFont val="Arial"/>
        <family val="2"/>
      </rPr>
      <t xml:space="preserve"> -Veuillez vous référer au document</t>
    </r>
    <r>
      <rPr>
        <u/>
        <sz val="10"/>
        <color indexed="12"/>
        <rFont val="Arial"/>
        <family val="2"/>
      </rPr>
      <t xml:space="preserve"> « DIRECTIVES POUR LA DECLARATION DES STATISTIQUES DES PECHES A LA CTOI » </t>
    </r>
    <r>
      <rPr>
        <sz val="10"/>
        <rFont val="Arial"/>
        <family val="2"/>
      </rPr>
      <t>pour plus d’informations sur les données exigibles.</t>
    </r>
  </si>
  <si>
    <t>FM-Foreign market (export)</t>
  </si>
  <si>
    <t>LM-Domestic market</t>
  </si>
  <si>
    <t>LM-Marché intérieur</t>
  </si>
  <si>
    <t>FM-Marché extérieur (exportation)</t>
  </si>
  <si>
    <t>BR-Brine</t>
  </si>
  <si>
    <r>
      <t>CL-Cold storage between 0</t>
    </r>
    <r>
      <rPr>
        <sz val="9"/>
        <color indexed="8"/>
        <rFont val="Courier New"/>
        <family val="3"/>
      </rPr>
      <t>°</t>
    </r>
    <r>
      <rPr>
        <sz val="9"/>
        <color indexed="8"/>
        <rFont val="Perpetua"/>
        <family val="1"/>
      </rPr>
      <t>and -30</t>
    </r>
    <r>
      <rPr>
        <sz val="9"/>
        <color indexed="8"/>
        <rFont val="Courier New"/>
        <family val="3"/>
      </rPr>
      <t>°</t>
    </r>
  </si>
  <si>
    <t>IC-Ice</t>
  </si>
  <si>
    <t>NO-None</t>
  </si>
  <si>
    <t>RW-Refrigerated sea-water</t>
  </si>
  <si>
    <t>BR-Saumure</t>
  </si>
  <si>
    <r>
      <t>CL-Stockage réfrigéré entre 0</t>
    </r>
    <r>
      <rPr>
        <sz val="9"/>
        <color indexed="8"/>
        <rFont val="Courier New"/>
        <family val="3"/>
      </rPr>
      <t>°</t>
    </r>
    <r>
      <rPr>
        <sz val="9"/>
        <color indexed="8"/>
        <rFont val="Arial Narrow"/>
        <family val="2"/>
      </rPr>
      <t>et -30</t>
    </r>
    <r>
      <rPr>
        <sz val="9"/>
        <color indexed="8"/>
        <rFont val="Courier New"/>
        <family val="3"/>
      </rPr>
      <t>°</t>
    </r>
  </si>
  <si>
    <t>IC-Glace</t>
  </si>
  <si>
    <t>NO-Aucune</t>
  </si>
  <si>
    <t>RW-Eau de mer réfrigérée</t>
  </si>
  <si>
    <t>FL-Fish loins</t>
  </si>
  <si>
    <t>GG-Gilled-and-gutted (bill off)</t>
  </si>
  <si>
    <t>HD-Headed-and-gutted</t>
  </si>
  <si>
    <t>HT-Headed and tailed</t>
  </si>
  <si>
    <t>PD-Headed and caudal peduncle-off</t>
  </si>
  <si>
    <t>RD-None; Round (whole, live)</t>
  </si>
  <si>
    <t>FL-Longes de poisson</t>
  </si>
  <si>
    <t>GG-Éviscéré (sans rostre)</t>
  </si>
  <si>
    <t>HD-Etêté et éviscéré</t>
  </si>
  <si>
    <t>HT-Etêté, éviscéré et sans nageoire caudale</t>
  </si>
  <si>
    <t>PD-Etêté, éviscéré et sans pédoncule caudale</t>
  </si>
  <si>
    <t>RD-Aucun; entier</t>
  </si>
  <si>
    <t>BO-Fishing boat</t>
  </si>
  <si>
    <t>MK-Fish market / auction hall</t>
  </si>
  <si>
    <t>PR-Fish processing plant</t>
  </si>
  <si>
    <t>ST-Retail store</t>
  </si>
  <si>
    <t>BO-Bateau de pêche</t>
  </si>
  <si>
    <t>MK-Marché au poisson / Criée</t>
  </si>
  <si>
    <t>PR-Usine de transformation des poissons</t>
  </si>
  <si>
    <t>ST-Magasin de détail</t>
  </si>
  <si>
    <t>ARE-United Arab Emirates</t>
  </si>
  <si>
    <t>ARE-Emirats arabes unies</t>
  </si>
  <si>
    <t>AUS-Australia</t>
  </si>
  <si>
    <t>AUS-Australie</t>
  </si>
  <si>
    <t>BGD-Bangladesh</t>
  </si>
  <si>
    <t>BHR-Bahrain</t>
  </si>
  <si>
    <t>BHR-Bahreïn</t>
  </si>
  <si>
    <t>BLZ-Belize</t>
  </si>
  <si>
    <t>CHN-China</t>
  </si>
  <si>
    <t>CHN-Chine</t>
  </si>
  <si>
    <t>COM-Comoros</t>
  </si>
  <si>
    <t>COM-Comores</t>
  </si>
  <si>
    <t>DJI-Djibouti</t>
  </si>
  <si>
    <t>EGY-Egypt</t>
  </si>
  <si>
    <t>EGY-Egypte</t>
  </si>
  <si>
    <t>ERI-Eritrea</t>
  </si>
  <si>
    <t>ERI-Erythrée</t>
  </si>
  <si>
    <t>FRAT-France OT</t>
  </si>
  <si>
    <t>FRAT-France TOM</t>
  </si>
  <si>
    <t>GBRT-United Kingdom OT</t>
  </si>
  <si>
    <t>GIN-Guinea</t>
  </si>
  <si>
    <t>GIN-Guinée</t>
  </si>
  <si>
    <t>IDN-Indonesia</t>
  </si>
  <si>
    <t>IDN-Indonésie</t>
  </si>
  <si>
    <t>IND-India</t>
  </si>
  <si>
    <t>IND-Inde</t>
  </si>
  <si>
    <t>ISR-Israel</t>
  </si>
  <si>
    <t>ISR-Israël</t>
  </si>
  <si>
    <t>JOR-Jordan</t>
  </si>
  <si>
    <t>JOR-Jordanie</t>
  </si>
  <si>
    <t>JPN-Japan</t>
  </si>
  <si>
    <t>JPN-Japon</t>
  </si>
  <si>
    <t>KEN-Kenya</t>
  </si>
  <si>
    <t>KWT-Kuwait</t>
  </si>
  <si>
    <t>KWT-Koweït</t>
  </si>
  <si>
    <t>LKA-Sri Lanka</t>
  </si>
  <si>
    <t>MDG-Madagascar</t>
  </si>
  <si>
    <t>MDV-Maldives</t>
  </si>
  <si>
    <t>MOZ-Mozambique</t>
  </si>
  <si>
    <t>MUS-Mauritius</t>
  </si>
  <si>
    <t>MUS-Maurice</t>
  </si>
  <si>
    <t>MYS-Malaysia</t>
  </si>
  <si>
    <t>MYS-Malaisie</t>
  </si>
  <si>
    <t>OMN-Oman</t>
  </si>
  <si>
    <t>PAK-Pakistan</t>
  </si>
  <si>
    <t>PHL-Philippines</t>
  </si>
  <si>
    <t>QAT-Qatar</t>
  </si>
  <si>
    <t>SAU-Saudi Arabia</t>
  </si>
  <si>
    <t>SAU-Arabie saoudite</t>
  </si>
  <si>
    <t>SDN-Sudan</t>
  </si>
  <si>
    <t>SDN-Soudan</t>
  </si>
  <si>
    <t>SEN-Senegal</t>
  </si>
  <si>
    <t>SEN-Sénégal</t>
  </si>
  <si>
    <t>SOM-Somalia</t>
  </si>
  <si>
    <t>SOM-Somalie</t>
  </si>
  <si>
    <t>SYC-Seychelles</t>
  </si>
  <si>
    <t>THA-Thailand</t>
  </si>
  <si>
    <t>THA-Thaïlande</t>
  </si>
  <si>
    <t>TMP-Timor-Leste</t>
  </si>
  <si>
    <t>TWN-Taiwan,China</t>
  </si>
  <si>
    <t>TWN-Taiwan,Chine</t>
  </si>
  <si>
    <t>URY-Uruguay</t>
  </si>
  <si>
    <t>VUT-Vanuatu</t>
  </si>
  <si>
    <t>YEM-Yemen</t>
  </si>
  <si>
    <t>YEM-Yémen</t>
  </si>
  <si>
    <t>ZAF-South Africa</t>
  </si>
  <si>
    <t>CA-Canned fish</t>
  </si>
  <si>
    <t>CA-Poisson en conserve</t>
  </si>
  <si>
    <t>DR-Dried fish</t>
  </si>
  <si>
    <t>DR-Poisson séché</t>
  </si>
  <si>
    <t>FB-Frozen fish</t>
  </si>
  <si>
    <t>FB-Poisson congelé</t>
  </si>
  <si>
    <t>FF-Fish fillets</t>
  </si>
  <si>
    <t>FF-Poisson en filets</t>
  </si>
  <si>
    <t>FM-Fish meal</t>
  </si>
  <si>
    <t>FM-Farine de poisson</t>
  </si>
  <si>
    <t>FO-Fish oil</t>
  </si>
  <si>
    <t>FO-Huile de poisson</t>
  </si>
  <si>
    <t>FR-Fresh fish</t>
  </si>
  <si>
    <t>FR-Poisson frais</t>
  </si>
  <si>
    <t>PC-Precooked fish</t>
  </si>
  <si>
    <t>PC-Poisson précuit</t>
  </si>
  <si>
    <t>RE-Fish roe (fish gonads or eggs)</t>
  </si>
  <si>
    <t>RE-Laitance de poisson (ovaires/œufs de poisson)</t>
  </si>
  <si>
    <t>SF-Shark fins</t>
  </si>
  <si>
    <t>SF-Ailerons de requin</t>
  </si>
  <si>
    <t>SH-Sashimi high quality</t>
  </si>
  <si>
    <t>SH-Sashimi de qualité supérieure</t>
  </si>
  <si>
    <t>SK-Smoked fish</t>
  </si>
  <si>
    <t>SK-Poisson fumé</t>
  </si>
  <si>
    <t>SL-Sashimi low quality</t>
  </si>
  <si>
    <t>SL-Sashimi de qualité inférieure</t>
  </si>
  <si>
    <t>ST-Salted fish</t>
  </si>
  <si>
    <t>ST-Poisson salé</t>
  </si>
  <si>
    <t>UN-Not specified or other products</t>
  </si>
  <si>
    <t>UN-Non spécifié ou autres produits</t>
  </si>
  <si>
    <t>ALB-Albacore</t>
  </si>
  <si>
    <t>ALB-Germon</t>
  </si>
  <si>
    <t>ALS-Silvertip shark</t>
  </si>
  <si>
    <t>ALS-Requin pointe blanche</t>
  </si>
  <si>
    <t>ALV-Thresher Shark</t>
  </si>
  <si>
    <t>ALV-Renard</t>
  </si>
  <si>
    <t>AMB-Greater amberjack</t>
  </si>
  <si>
    <t>AMB-Sériole couronnée</t>
  </si>
  <si>
    <t>AML-Grey Reef Shark</t>
  </si>
  <si>
    <t>AML-Requin dagsit</t>
  </si>
  <si>
    <t>BAU-Australian bonito</t>
  </si>
  <si>
    <t>BAU-Bonite bagnard</t>
  </si>
  <si>
    <t>BET-Bigeye tuna</t>
  </si>
  <si>
    <t>BET-Patudo; Thon obèse</t>
  </si>
  <si>
    <t>BIP-Striped bonito</t>
  </si>
  <si>
    <t>BLM-Black Marlin</t>
  </si>
  <si>
    <t>BLM-Makaire noir</t>
  </si>
  <si>
    <t>BLR-Blacktip reef shark</t>
  </si>
  <si>
    <t>BLR-Requin pointes noires</t>
  </si>
  <si>
    <t>BLT-Bullet tuna</t>
  </si>
  <si>
    <t>BLT-Bonitou</t>
  </si>
  <si>
    <t>BRA-Pomfrets nei</t>
  </si>
  <si>
    <t>BRO-Copper shark</t>
  </si>
  <si>
    <t>BRO-Requin cuivre</t>
  </si>
  <si>
    <t>BSH-Blue shark</t>
  </si>
  <si>
    <t>BSH-Peau bleue</t>
  </si>
  <si>
    <t>BTH-Bigeye thresher</t>
  </si>
  <si>
    <t>BUK-Butterfly kingfish</t>
  </si>
  <si>
    <t>BUK-Thon papillon</t>
  </si>
  <si>
    <t>BUM-Blue Marlin</t>
  </si>
  <si>
    <t>BUM-Makaire bleu</t>
  </si>
  <si>
    <t>CCD-Whitecheek shark</t>
  </si>
  <si>
    <t>CCD-Requin joues blanches</t>
  </si>
  <si>
    <t>CCG-Galapagos shark</t>
  </si>
  <si>
    <t>CCG-Requin des Galapagos</t>
  </si>
  <si>
    <t>CCL-Blacktip shark</t>
  </si>
  <si>
    <t>CCL-Requin bordé</t>
  </si>
  <si>
    <t>CCM-Hardnose shark</t>
  </si>
  <si>
    <t>CCP-Sandbar shark</t>
  </si>
  <si>
    <t>CCP-Requin gris</t>
  </si>
  <si>
    <t>CCQ-Spot-tail shark</t>
  </si>
  <si>
    <t>CCQ-Requin queue tachet</t>
  </si>
  <si>
    <t>CEM-Smallfin gulper shark</t>
  </si>
  <si>
    <t>CEM-Squale-chagrin cagaou</t>
  </si>
  <si>
    <t>CFW-Pompano dolphinfish</t>
  </si>
  <si>
    <t>CFW-Dorade</t>
  </si>
  <si>
    <t>CLD-Sliteye shark</t>
  </si>
  <si>
    <t>CLD-Requin sagrin</t>
  </si>
  <si>
    <t>COM-Narrow-barred Spanish mackerel</t>
  </si>
  <si>
    <t>COM-Thazard rayé indo-pacifique</t>
  </si>
  <si>
    <t>CPU-Little gulper shark</t>
  </si>
  <si>
    <t>CPU-Petit squale-chagrin</t>
  </si>
  <si>
    <t>CYT-Ornate dogfish</t>
  </si>
  <si>
    <t>CYT-Aiguillat élégant</t>
  </si>
  <si>
    <t>DBM-Double-lined mackerel</t>
  </si>
  <si>
    <t>DBM-Thazard-kusara</t>
  </si>
  <si>
    <t>DOL-Common dolphinfish</t>
  </si>
  <si>
    <t>DOL-Coryphène commune</t>
  </si>
  <si>
    <t>DOP-Shortnose spurdog</t>
  </si>
  <si>
    <t>DOP-Aiguillat nez court</t>
  </si>
  <si>
    <t>DOT-Dogtooth tuna</t>
  </si>
  <si>
    <t>DOT-Bonite à gros yeux</t>
  </si>
  <si>
    <t>DUS-Dusky shark</t>
  </si>
  <si>
    <t>DUS-Requin de sable</t>
  </si>
  <si>
    <t>ESCL-Black escolar</t>
  </si>
  <si>
    <t>ESCL-Escolier noir</t>
  </si>
  <si>
    <t>FAL-Silky shark</t>
  </si>
  <si>
    <t>FAL-Requin soyeux</t>
  </si>
  <si>
    <t>FRI-Frigate tuna</t>
  </si>
  <si>
    <t>FRI-Auxide</t>
  </si>
  <si>
    <t>GAG-Tope shark</t>
  </si>
  <si>
    <t>GAG-Requin-hâ</t>
  </si>
  <si>
    <t>GUT-Indo-Pacific king mackerel</t>
  </si>
  <si>
    <t>GUT-Thazard ponctué indo-pacifique</t>
  </si>
  <si>
    <t>HXN-Bigeyed sixgill shark</t>
  </si>
  <si>
    <t>HXT-Sharpnose sevengill shark</t>
  </si>
  <si>
    <t>HXT-Requin perlon</t>
  </si>
  <si>
    <t>KAK-Kanadi kingfish</t>
  </si>
  <si>
    <t>KAK-Thazard kanadi</t>
  </si>
  <si>
    <t>KAW-Kawakawa</t>
  </si>
  <si>
    <t>KAW-Thonine orientale</t>
  </si>
  <si>
    <t>KOS-Korean seerfish</t>
  </si>
  <si>
    <t>LAG-Opah</t>
  </si>
  <si>
    <t>LMA-Longfin mako</t>
  </si>
  <si>
    <t>LMA-Petite taupe</t>
  </si>
  <si>
    <t>LOT-Longtail tuna</t>
  </si>
  <si>
    <t>LOT-Thon mignon</t>
  </si>
  <si>
    <t>MAA-Blue mackerel</t>
  </si>
  <si>
    <t>MAA-Maquereau tacheté</t>
  </si>
  <si>
    <t>MLS-Striped marlin</t>
  </si>
  <si>
    <t>MLS-Marlin rayé</t>
  </si>
  <si>
    <t>MTM-Arabian smooth-hound</t>
  </si>
  <si>
    <t>NTC-Broadnose sevengill shark</t>
  </si>
  <si>
    <t>NTC-Platnez</t>
  </si>
  <si>
    <t>OCS-Oceanic whitetip shark</t>
  </si>
  <si>
    <t>OCS-Requin océanique</t>
  </si>
  <si>
    <t>ODH-Bigeye sand tiger shark</t>
  </si>
  <si>
    <t>ODH-Requin noronhai</t>
  </si>
  <si>
    <t>OIL-Oilfish</t>
  </si>
  <si>
    <t>ORI-Slender bambooshark</t>
  </si>
  <si>
    <t>ORI-Requin-chabot élégant</t>
  </si>
  <si>
    <t>ORR-Grey bambooshark</t>
  </si>
  <si>
    <t>ORR-Requin-chabot gris</t>
  </si>
  <si>
    <t>ORZ-Tawny nurse shark</t>
  </si>
  <si>
    <t>ORZ-Requin nourrice fauve</t>
  </si>
  <si>
    <t>OSF-Zebra shark</t>
  </si>
  <si>
    <t>OSF-Requin zèbre</t>
  </si>
  <si>
    <t>OXY-Angular rough shark</t>
  </si>
  <si>
    <t>POR-Porbeagle</t>
  </si>
  <si>
    <t>POR-Requin-taupe commun</t>
  </si>
  <si>
    <t>PSK-Crocodile shark</t>
  </si>
  <si>
    <t>PSK-Requin crocodile</t>
  </si>
  <si>
    <t>PTH-Pelagic Thresher Shark</t>
  </si>
  <si>
    <t>RAG-Indian mackerel</t>
  </si>
  <si>
    <t>RAG-Maquereau des Indes</t>
  </si>
  <si>
    <t>RHA-White-eyed shark</t>
  </si>
  <si>
    <t>RHN-Whale shark</t>
  </si>
  <si>
    <t>RMJ-Spinetail mobula</t>
  </si>
  <si>
    <t>RRU-Rainbow runner</t>
  </si>
  <si>
    <t>RRU-Comète saumon</t>
  </si>
  <si>
    <t>SAP-Pacific saury</t>
  </si>
  <si>
    <t>SAP-Saurie</t>
  </si>
  <si>
    <t>SBF-Southern bluefin tuna</t>
  </si>
  <si>
    <t>SBF-Thon rouge du Sud</t>
  </si>
  <si>
    <t>SBL-Bluntnose sixgill shark</t>
  </si>
  <si>
    <t>SBL-Requin griset</t>
  </si>
  <si>
    <t>SCK-Kitefin shark</t>
  </si>
  <si>
    <t>SCK-Squale liche</t>
  </si>
  <si>
    <t>SFA-Indo-Pacific sailfish</t>
  </si>
  <si>
    <t>SFA-Voilier indo-pacifique</t>
  </si>
  <si>
    <t>SKJ-Skipjack tuna</t>
  </si>
  <si>
    <t>SKJ-Listao</t>
  </si>
  <si>
    <t>SLA-Spadenose shark</t>
  </si>
  <si>
    <t>SLA-Requin épée</t>
  </si>
  <si>
    <t>SMA-Shortfin mako</t>
  </si>
  <si>
    <t>SMA-Taupe bleue</t>
  </si>
  <si>
    <t>SMD-Smooth-hound</t>
  </si>
  <si>
    <t>SPF-Longbill spearfish</t>
  </si>
  <si>
    <t>SPF-Makaire à rostre</t>
  </si>
  <si>
    <t>SPL-Scalloped hammerhead</t>
  </si>
  <si>
    <t>SPL-Requin marteau halicorne</t>
  </si>
  <si>
    <t>SPZ-Smooth hammerhead</t>
  </si>
  <si>
    <t>SPZ-Requin marteau commun</t>
  </si>
  <si>
    <t>SSP-Makaire à rostre court</t>
  </si>
  <si>
    <t>SSQ-Velvet dogfish</t>
  </si>
  <si>
    <t>STS-Streaked seerfish</t>
  </si>
  <si>
    <t>STS-Thazard cirrus</t>
  </si>
  <si>
    <t>SWO-Swordfish</t>
  </si>
  <si>
    <t>SWO-Espadon</t>
  </si>
  <si>
    <t>Alopias spp.</t>
  </si>
  <si>
    <t>TIG-Tiger shark</t>
  </si>
  <si>
    <t>TIG-Requin tigre commun</t>
  </si>
  <si>
    <t>WAH-Wahoo</t>
  </si>
  <si>
    <t>WSH-Great White shark</t>
  </si>
  <si>
    <t>WSH-Grand requin blanc</t>
  </si>
  <si>
    <t>YFT-Yellowfin tuna</t>
  </si>
  <si>
    <t>ATL-ATLANTIC OCEAN</t>
  </si>
  <si>
    <t>ATL-OCEAN ATLANTIQUE</t>
  </si>
  <si>
    <t>IND-INDIAN OCEAN</t>
  </si>
  <si>
    <t>IND-OCEAN INDIEN</t>
  </si>
  <si>
    <t>MED-MEDITERRANEAN SEA</t>
  </si>
  <si>
    <t>MED-MER MÉDITERRANÉE</t>
  </si>
  <si>
    <t>PAC-PACIFIC OCEAN</t>
  </si>
  <si>
    <t>PAC-OCEAN PACIFIQUE</t>
  </si>
  <si>
    <t>KG-Price per kilogram</t>
  </si>
  <si>
    <t>MT-Price per metric ton</t>
  </si>
  <si>
    <t>KG-pirx par kilogramme</t>
  </si>
  <si>
    <t>MT-prix par tonne</t>
  </si>
  <si>
    <t>EUR (€)</t>
  </si>
  <si>
    <t>EUR (€)-EC Euros</t>
  </si>
  <si>
    <t>EUR (€)-CE Euros</t>
  </si>
  <si>
    <t>USD ($)</t>
  </si>
  <si>
    <t>USD ($)-US Dollars</t>
  </si>
  <si>
    <t>USD ($)-Dollar USA</t>
  </si>
  <si>
    <t>YEN (¥ )</t>
  </si>
  <si>
    <t>YEN (¥ )-Japanese Yens</t>
  </si>
  <si>
    <t>YEN (¥ )-Japan Yen</t>
  </si>
  <si>
    <t>K003-Weight over 3 kilograms</t>
  </si>
  <si>
    <t>K003-Poids supérieur à 3 kilogrammes</t>
  </si>
  <si>
    <t>K005-Weight over 5 kilograms</t>
  </si>
  <si>
    <t>K005-Poids supérieur à 5 kilogrammes</t>
  </si>
  <si>
    <t>K010-Weight over 10 kilograms</t>
  </si>
  <si>
    <t>K010-Poids supérieur à 10 kilogrammes</t>
  </si>
  <si>
    <t>K015-Weight over 15 kilograms</t>
  </si>
  <si>
    <t>K015-Poids supérieur à 15 kilogrammes</t>
  </si>
  <si>
    <t>K030-Weight over 30 kilograms</t>
  </si>
  <si>
    <t>K030-Poids supérieur à 30 kilogrammes</t>
  </si>
  <si>
    <t>K1G2-Weight over 1.2 kilograms</t>
  </si>
  <si>
    <t>K1G2-Poids supérieur à 1,2 kilogrammes</t>
  </si>
  <si>
    <t>K1G5-Weight over 1.5 kilograms</t>
  </si>
  <si>
    <t>K1G5-Poids supérieur à 1,5 kilogrammes</t>
  </si>
  <si>
    <t>K1G8-Weight over 1.8 kilograms</t>
  </si>
  <si>
    <t>K1G8-Poids supérieur à 1,8 kilogramme</t>
  </si>
  <si>
    <t>KALL-All weights</t>
  </si>
  <si>
    <t>KALL-Tous les poids</t>
  </si>
  <si>
    <t>KL03-Weight under 3 kilograms</t>
  </si>
  <si>
    <t>KL03-Poids inférieur à 3 kilogrammes</t>
  </si>
  <si>
    <t>KL05-Weight under 5 kilograms</t>
  </si>
  <si>
    <t>KL05-Poids inférieur à 5 kilogrammes</t>
  </si>
  <si>
    <t>KL12-Weight under 1.2 kilograms</t>
  </si>
  <si>
    <t>KL12-Poids inférieur à 1,2 kilogrammes</t>
  </si>
  <si>
    <t>KL15-Weight under 1.5 kilograms</t>
  </si>
  <si>
    <t>KL15-Poids inférieur à 1,5 kilogrammes</t>
  </si>
  <si>
    <t>KL18-Weight under 1.8 kilograms</t>
  </si>
  <si>
    <t>KL18-Poids inférieur à 1,8 kilogrammes</t>
  </si>
  <si>
    <t>Formulaire CTOI 7:prix du poisson</t>
  </si>
  <si>
    <t>SPECIES SCIENTIFIC NAME</t>
  </si>
  <si>
    <t>NAME_EN</t>
  </si>
  <si>
    <t>NAME_FR</t>
  </si>
  <si>
    <t>ANT</t>
  </si>
  <si>
    <t>ANT-Netherlands Antilles</t>
  </si>
  <si>
    <t>ANT-Antilles néerlandaises</t>
  </si>
  <si>
    <t>BGR</t>
  </si>
  <si>
    <t>BGR-Bulgaria</t>
  </si>
  <si>
    <t>BGR-Bulgarie</t>
  </si>
  <si>
    <t>BOL</t>
  </si>
  <si>
    <t>BOL-Bolivia</t>
  </si>
  <si>
    <t>BOL-Bolivie</t>
  </si>
  <si>
    <t>CIV</t>
  </si>
  <si>
    <t>CIV-Côte d'Ivoire</t>
  </si>
  <si>
    <t>CYM</t>
  </si>
  <si>
    <t>CYM-Cayman Islands</t>
  </si>
  <si>
    <t>CYM-Îles Cayman</t>
  </si>
  <si>
    <t>DEU</t>
  </si>
  <si>
    <t>DEU-Germany</t>
  </si>
  <si>
    <t>DEU-Allemagne</t>
  </si>
  <si>
    <t>ESP-Spain</t>
  </si>
  <si>
    <t>ESP-Espagne</t>
  </si>
  <si>
    <t>FRA-France</t>
  </si>
  <si>
    <t>GBR-United Kingdom</t>
  </si>
  <si>
    <t>GBR-Royaume-Uni</t>
  </si>
  <si>
    <t>GBRT-Royaume uni OT</t>
  </si>
  <si>
    <t>GEO</t>
  </si>
  <si>
    <t>GEO-Georgia</t>
  </si>
  <si>
    <t>GEO-Georgie</t>
  </si>
  <si>
    <t>GNQ</t>
  </si>
  <si>
    <t>GNQ-Equatorial Guinea</t>
  </si>
  <si>
    <t>GNQ-Guinée équatoriale</t>
  </si>
  <si>
    <t>HKG</t>
  </si>
  <si>
    <t>HKG-Hong Kong</t>
  </si>
  <si>
    <t>HKG-Hong-kong</t>
  </si>
  <si>
    <t>HND</t>
  </si>
  <si>
    <t>HND-Honduras</t>
  </si>
  <si>
    <t>IRN-Iran (Islamic Republic of)</t>
  </si>
  <si>
    <t>IRN-Iran (République Islamique d')</t>
  </si>
  <si>
    <t>ISL</t>
  </si>
  <si>
    <t>ISL-Iceland</t>
  </si>
  <si>
    <t>ISL-Islande</t>
  </si>
  <si>
    <t>ITA-Italy</t>
  </si>
  <si>
    <t>ITA-Italie</t>
  </si>
  <si>
    <t>KHM</t>
  </si>
  <si>
    <t>KHM-Cambodia</t>
  </si>
  <si>
    <t>KHM-Cambodge</t>
  </si>
  <si>
    <t>KOR-Korea (Republic of)</t>
  </si>
  <si>
    <t>KOR-Corée (République de)</t>
  </si>
  <si>
    <t>LBR</t>
  </si>
  <si>
    <t>LBR-Liberia</t>
  </si>
  <si>
    <t>LBR-Libéria</t>
  </si>
  <si>
    <t>MLT</t>
  </si>
  <si>
    <t>MLT-Malta</t>
  </si>
  <si>
    <t>MLT-Malte</t>
  </si>
  <si>
    <t>MNG</t>
  </si>
  <si>
    <t>MNG-Mongolia</t>
  </si>
  <si>
    <t>MNG-Mongolie</t>
  </si>
  <si>
    <t>NAM</t>
  </si>
  <si>
    <t>NAM-Namibia</t>
  </si>
  <si>
    <t>NAM-Namibie</t>
  </si>
  <si>
    <t>NEI</t>
  </si>
  <si>
    <t>NEI-Unidentified</t>
  </si>
  <si>
    <t>NEI-Non identifié</t>
  </si>
  <si>
    <t>PAN</t>
  </si>
  <si>
    <t>PAN-Panama</t>
  </si>
  <si>
    <t>PNG</t>
  </si>
  <si>
    <t>PNG-Papua New Guinea</t>
  </si>
  <si>
    <t>PNG-Papua Nouvelle Guinée</t>
  </si>
  <si>
    <t>PRT-Portugal</t>
  </si>
  <si>
    <t>REU</t>
  </si>
  <si>
    <t>REU-France (Reunion)</t>
  </si>
  <si>
    <t>REU-France (Réunion)</t>
  </si>
  <si>
    <t>SUN</t>
  </si>
  <si>
    <t>SUN-Soviet Union</t>
  </si>
  <si>
    <t>SUN-Union Sovietique</t>
  </si>
  <si>
    <t>TGO</t>
  </si>
  <si>
    <t>TGO-Togo</t>
  </si>
  <si>
    <t>TZA-Tanzania (United Republic of)</t>
  </si>
  <si>
    <t>TZA-Tanzanie (République Unie de)</t>
  </si>
  <si>
    <t>UKR</t>
  </si>
  <si>
    <t>UKR-Ukraine</t>
  </si>
  <si>
    <t>VCT</t>
  </si>
  <si>
    <t>VCT-Saint Vincent and the Grenadines</t>
  </si>
  <si>
    <t>VCT-Saint-Vincent et les Grenadines</t>
  </si>
  <si>
    <t>ZAF-Afrique du sud</t>
  </si>
  <si>
    <t>MMR</t>
  </si>
  <si>
    <t>MMR-Myanmar</t>
  </si>
  <si>
    <t>SCIENTIFIC_NAME</t>
  </si>
  <si>
    <t>YFT-Albacore</t>
  </si>
  <si>
    <t>BFT</t>
  </si>
  <si>
    <t>BFT-Northern bluefin tuna</t>
  </si>
  <si>
    <t>BFT-Thon rouge du Nord</t>
  </si>
  <si>
    <t>Thunnus thynnus</t>
  </si>
  <si>
    <t>MLW</t>
  </si>
  <si>
    <t>MLW-Atlantic white marlin</t>
  </si>
  <si>
    <t>MLW-Makaire blanc Atlantique</t>
  </si>
  <si>
    <t>Tetrapturus albidus</t>
  </si>
  <si>
    <t>SAI</t>
  </si>
  <si>
    <t>SAI-Atlantic sailfish</t>
  </si>
  <si>
    <t>SAI-Voilier Atlantique</t>
  </si>
  <si>
    <t>Istiophorus albicans</t>
  </si>
  <si>
    <t>AG05</t>
  </si>
  <si>
    <t>AG05-Frigate tuna and bullet tuna</t>
  </si>
  <si>
    <t>AG05-Auxide et bonitou</t>
  </si>
  <si>
    <t>Auxis spp.</t>
  </si>
  <si>
    <t>AG06</t>
  </si>
  <si>
    <t>AG06-Kawakawa, frigate and bullet tunas</t>
  </si>
  <si>
    <t>AG06-Thonine orientale, auxide et bonitou</t>
  </si>
  <si>
    <t>Euthynnus affinis; Auxis spp.</t>
  </si>
  <si>
    <t>AG04</t>
  </si>
  <si>
    <t>AG04-Marlins, sailfish, spearfish nei</t>
  </si>
  <si>
    <t>AG04-Makaires et marlins et voiliers nca</t>
  </si>
  <si>
    <t>Istiophoridae</t>
  </si>
  <si>
    <t>AG02</t>
  </si>
  <si>
    <t>AG02-Indo-Pacific sailfish and shortbill spearfish</t>
  </si>
  <si>
    <t>AG02-Voilier indo-pacifique et makaire à rostre court</t>
  </si>
  <si>
    <t>Istiophorus platypterus; Tetrapturus angustirostris</t>
  </si>
  <si>
    <t>AG10</t>
  </si>
  <si>
    <t>AG10-Skipjack tuna and kawakawa</t>
  </si>
  <si>
    <t>AG10-Listao et Thonine orientale</t>
  </si>
  <si>
    <t>Katsuwonus pelamis; Euthynnus affinis</t>
  </si>
  <si>
    <t>AG01</t>
  </si>
  <si>
    <t>AG01-Black marlin and striped marlin</t>
  </si>
  <si>
    <t>AG01-Makaire noir et Marlin rayé</t>
  </si>
  <si>
    <t>Makaira nigricans; Tetrapturus audax</t>
  </si>
  <si>
    <t>AG09</t>
  </si>
  <si>
    <t>AG09-Wahoo and seerfishes nei</t>
  </si>
  <si>
    <t>AG09-Thazards nca</t>
  </si>
  <si>
    <t>Scomberomorini</t>
  </si>
  <si>
    <t>AG08</t>
  </si>
  <si>
    <t>AG08-Seerfishes nei</t>
  </si>
  <si>
    <t>AG08-Thazards nca</t>
  </si>
  <si>
    <t>Scomberomorus spp.</t>
  </si>
  <si>
    <t>AG12</t>
  </si>
  <si>
    <t>AG12-Tuna-like fishes nei</t>
  </si>
  <si>
    <t>AG12-Poissons type thon nca</t>
  </si>
  <si>
    <t>Scombroidei</t>
  </si>
  <si>
    <t>AG03</t>
  </si>
  <si>
    <t>AG03-Marlins nei</t>
  </si>
  <si>
    <t>AG03-Marlin rayé et makaires nca</t>
  </si>
  <si>
    <t>Tetrapturus audax; Makaira spp.</t>
  </si>
  <si>
    <t>AG13</t>
  </si>
  <si>
    <t>AG13-Tunas nei</t>
  </si>
  <si>
    <t>AG13-Thonidés nca</t>
  </si>
  <si>
    <t>Thunnini</t>
  </si>
  <si>
    <t>AG11</t>
  </si>
  <si>
    <t>AG11-True tunas nei</t>
  </si>
  <si>
    <t>AG11-Thons Thunnus nca</t>
  </si>
  <si>
    <t>Thunnus spp.</t>
  </si>
  <si>
    <t>AG07</t>
  </si>
  <si>
    <t>AG07-Longtail tuna and kawakawa</t>
  </si>
  <si>
    <t>AG07-Thon mignon et thonine orientale</t>
  </si>
  <si>
    <t>Thunnus tonggol; Euthynnus affinis</t>
  </si>
  <si>
    <t>AG14</t>
  </si>
  <si>
    <t>AG14-Billfish nei</t>
  </si>
  <si>
    <t>AG14-Poissons epée nca</t>
  </si>
  <si>
    <t>Xiphioidei</t>
  </si>
  <si>
    <t>AG34</t>
  </si>
  <si>
    <t>AG34-Yellowfin tuna and bigeye tuna</t>
  </si>
  <si>
    <t>AG34-Albacore et patudo</t>
  </si>
  <si>
    <t>Thunnus albacares; Thunnus obesus</t>
  </si>
  <si>
    <t>AG35</t>
  </si>
  <si>
    <t>AG35-Yellowfin tuna and skipjack tuna</t>
  </si>
  <si>
    <t>AG35-Albacore et listao</t>
  </si>
  <si>
    <t>Thunnus albacares; Katsuwonus pelamis</t>
  </si>
  <si>
    <t>AG39</t>
  </si>
  <si>
    <t>AG39-Yellowfin tuna; bigeye tuna; albacore; swordfish; marlins nei</t>
  </si>
  <si>
    <t>AG39-Albacore, listao, patudo, germon, espadon, makaires nca</t>
  </si>
  <si>
    <t xml:space="preserve">Thunnus albacares; Thunnus obesus; Thunnus alalunga; Xiphias gladius; Makaira spp.; Tetrapturus audax </t>
  </si>
  <si>
    <t>AG40</t>
  </si>
  <si>
    <t>AG40-Albacore, frigate tuna and bullet tuna</t>
  </si>
  <si>
    <t>AG40-Germon, Auxide et bonitou</t>
  </si>
  <si>
    <t>Thunnus alalunga; Auxis spp.</t>
  </si>
  <si>
    <t>AG41</t>
  </si>
  <si>
    <t>AG41-Blue marlin and black marlin</t>
  </si>
  <si>
    <t>AG41-Makaire noir et Makaire bleu</t>
  </si>
  <si>
    <t>Makaira spp.</t>
  </si>
  <si>
    <t>OXY-Centrine communes</t>
  </si>
  <si>
    <t>MTM-Émissole d'Arabie</t>
  </si>
  <si>
    <t>HAY</t>
  </si>
  <si>
    <t>HAY-Lined cat shark</t>
  </si>
  <si>
    <t>HAY-Holbiche des plages</t>
  </si>
  <si>
    <t>BTH-Renard a gros yeux</t>
  </si>
  <si>
    <t>CCM-Requin à nez rude</t>
  </si>
  <si>
    <t>PTH-Renard pelagique</t>
  </si>
  <si>
    <t>SMD-Emissole lisse</t>
  </si>
  <si>
    <t>CCB</t>
  </si>
  <si>
    <t>CCB-Spinner Shark</t>
  </si>
  <si>
    <t>CCB-Requin tisserand</t>
  </si>
  <si>
    <t>SSQ-Requins divers nca</t>
  </si>
  <si>
    <t>RHN-Requin baleine</t>
  </si>
  <si>
    <t>RHA-Requin à museau pointu</t>
  </si>
  <si>
    <t>RMB-Manta géant</t>
  </si>
  <si>
    <t>AG31</t>
  </si>
  <si>
    <t>AG31-Cow sharks</t>
  </si>
  <si>
    <t>AG31-Requins griset</t>
  </si>
  <si>
    <t>Hexanchidae</t>
  </si>
  <si>
    <t>AG15</t>
  </si>
  <si>
    <t>AG15-Dogfishes nei</t>
  </si>
  <si>
    <t>AG15-Aiguillats nca</t>
  </si>
  <si>
    <t>Squalus spp.</t>
  </si>
  <si>
    <t>AG16</t>
  </si>
  <si>
    <t>AG16-Hammerhead sharks nei</t>
  </si>
  <si>
    <t>AG16-Requins marteau nca</t>
  </si>
  <si>
    <t>Sphyrna spp.</t>
  </si>
  <si>
    <t>AG17</t>
  </si>
  <si>
    <t>AG17-Mako sharks</t>
  </si>
  <si>
    <t>AG17-Taupes</t>
  </si>
  <si>
    <t>Isurus spp</t>
  </si>
  <si>
    <t>AG30</t>
  </si>
  <si>
    <t>AG30-Mantes, diables de mer nca</t>
  </si>
  <si>
    <t>Mobulidae</t>
  </si>
  <si>
    <t>AG18</t>
  </si>
  <si>
    <t>AG18-Rays, stingrays, mantas nei</t>
  </si>
  <si>
    <t>AG18-Raies et pastenagues et mantes nca</t>
  </si>
  <si>
    <t>Rajiformes</t>
  </si>
  <si>
    <t>AG19</t>
  </si>
  <si>
    <t>AG19-Requiem sharks nei</t>
  </si>
  <si>
    <t>AG19-Requins nca</t>
  </si>
  <si>
    <t>Carcharhinidae</t>
  </si>
  <si>
    <t>AG20</t>
  </si>
  <si>
    <t>AG20-Sharks mackerel, porbeagles nei</t>
  </si>
  <si>
    <t>AG20-Requins taupe nca</t>
  </si>
  <si>
    <t>Lamnidae</t>
  </si>
  <si>
    <t>AG21</t>
  </si>
  <si>
    <t>AG21-Sharks nei other than oceanic whitetip shark and blue shark</t>
  </si>
  <si>
    <t>AG21-Requins nca hors requin océanique et peau bleue</t>
  </si>
  <si>
    <t>Selachimorpha (Pleurotremata); needs update</t>
  </si>
  <si>
    <t>AG22</t>
  </si>
  <si>
    <t>AG22-Sharks various nei</t>
  </si>
  <si>
    <t>AG22-Requins divers nca</t>
  </si>
  <si>
    <t>Selachimorpha (Pleurotremata)</t>
  </si>
  <si>
    <t>AG23</t>
  </si>
  <si>
    <t>AG23-Thresher sharks nei</t>
  </si>
  <si>
    <t>AG23-Renards de mer nca</t>
  </si>
  <si>
    <t>AG36</t>
  </si>
  <si>
    <t>AG36-Sharks various coastal species nei</t>
  </si>
  <si>
    <t>AG36-divers requins de espèces côtier</t>
  </si>
  <si>
    <t>Selachimorpha (Pleurotremata) - coastal</t>
  </si>
  <si>
    <t>AG37</t>
  </si>
  <si>
    <t>AG37-Blue shark and shorfin mako</t>
  </si>
  <si>
    <t>AG37-Peau bleue et Taupe bleue</t>
  </si>
  <si>
    <t>Prionace glauca; Isurus oxyrinchus</t>
  </si>
  <si>
    <t>AG38</t>
  </si>
  <si>
    <t>AG38-Blue shark, shortfin mako, oceanic whitetip shark</t>
  </si>
  <si>
    <t>AG38-Peau bleue, Taupe bleue et Requin océanique</t>
  </si>
  <si>
    <t>Prionace glauca; Isurus oxyrinchus; Carcharhinus longimanus</t>
  </si>
  <si>
    <t>BIP-Bonite oriental</t>
  </si>
  <si>
    <t>BRA-Brama</t>
  </si>
  <si>
    <t>KOS-Thazard coreen</t>
  </si>
  <si>
    <t>OIL-Ruvet</t>
  </si>
  <si>
    <t>WAH-Thazard-bâtard</t>
  </si>
  <si>
    <t>AG00</t>
  </si>
  <si>
    <t>AG00-Unknown</t>
  </si>
  <si>
    <t>AG00-Espèces non ciblées, associées et dépendantes</t>
  </si>
  <si>
    <t>NA</t>
  </si>
  <si>
    <t>AG24</t>
  </si>
  <si>
    <t>AG24-Dolphinfishes, nei</t>
  </si>
  <si>
    <t>AG24-Coryphènes nca</t>
  </si>
  <si>
    <t>Coryphaenidae</t>
  </si>
  <si>
    <t>AG26</t>
  </si>
  <si>
    <t>AG26-Mackerels Indian, nei</t>
  </si>
  <si>
    <t>AG26-Maquereaux Indo-pacifique nca</t>
  </si>
  <si>
    <t>Rastrelliger spp.</t>
  </si>
  <si>
    <t>AG27</t>
  </si>
  <si>
    <t>AG27-Non-IOTC species</t>
  </si>
  <si>
    <t>AG27-Poissons marins nca</t>
  </si>
  <si>
    <t>Various</t>
  </si>
  <si>
    <t>AG28</t>
  </si>
  <si>
    <t>AG28-Snake mackerels, escolars, nei</t>
  </si>
  <si>
    <t>AG28-Escoliers et rouvets nca</t>
  </si>
  <si>
    <t>Gempylidae</t>
  </si>
  <si>
    <t>AG29</t>
  </si>
  <si>
    <t>AG29-Snappers, jobfishes nei</t>
  </si>
  <si>
    <t>AG29-Lutianidés nca</t>
  </si>
  <si>
    <t>Lutjanidae</t>
  </si>
  <si>
    <t>AG32</t>
  </si>
  <si>
    <t>AG32-Barracudas</t>
  </si>
  <si>
    <t>AG32-Brochets de mer</t>
  </si>
  <si>
    <t>ASM</t>
  </si>
  <si>
    <t>ASM-Australia Spotted Mackerel</t>
  </si>
  <si>
    <t>ASM-Thazard Australien</t>
  </si>
  <si>
    <t>Scomberomorus munroi</t>
  </si>
  <si>
    <t>BBM</t>
  </si>
  <si>
    <t>BBM-Broad-barred King Mackerel</t>
  </si>
  <si>
    <t>BBM-Thazard sp</t>
  </si>
  <si>
    <t>Scomberomorus semifasciatus</t>
  </si>
  <si>
    <t>CCE</t>
  </si>
  <si>
    <t>CCE-Bull shark</t>
  </si>
  <si>
    <t>CCE-Requin bouledogue</t>
  </si>
  <si>
    <t>Carcharhinus leucas</t>
  </si>
  <si>
    <t>GAM</t>
  </si>
  <si>
    <t>GAM-Mouse catshark</t>
  </si>
  <si>
    <t>GAM-Chien islandias</t>
  </si>
  <si>
    <t>Galeus murinus</t>
  </si>
  <si>
    <t>MOO</t>
  </si>
  <si>
    <t>MOO-MoonFish</t>
  </si>
  <si>
    <t>MOO-Luneur</t>
  </si>
  <si>
    <t>Mene maculata</t>
  </si>
  <si>
    <t>MSD</t>
  </si>
  <si>
    <t>MSD-Mackerel scad</t>
  </si>
  <si>
    <t>MSD-Comète maquereau</t>
  </si>
  <si>
    <t>Decapterus macarellus</t>
  </si>
  <si>
    <t>POL</t>
  </si>
  <si>
    <t>POL-Pollack</t>
  </si>
  <si>
    <t>POL-Lieu jaune</t>
  </si>
  <si>
    <t>Pollachius pollachius</t>
  </si>
  <si>
    <t>SLT</t>
  </si>
  <si>
    <t>SLT-Slender Tuna</t>
  </si>
  <si>
    <t>SLT-Thon élégant</t>
  </si>
  <si>
    <t>Allothunnus fallai</t>
  </si>
  <si>
    <t>SPK</t>
  </si>
  <si>
    <t>SPK-Great hammerhead shark</t>
  </si>
  <si>
    <t>SPK-Grand requin marteau</t>
  </si>
  <si>
    <t>Sphyrna mokarran</t>
  </si>
  <si>
    <t>SWA</t>
  </si>
  <si>
    <t>SWA-White seabream</t>
  </si>
  <si>
    <t>SWA-Sar commun</t>
  </si>
  <si>
    <t>Diplodus sargus</t>
  </si>
  <si>
    <t>TRB</t>
  </si>
  <si>
    <t>TRB-Whitetip reef shark</t>
  </si>
  <si>
    <t>TRB-Requin corail</t>
  </si>
  <si>
    <t>Triaenodon obesus</t>
  </si>
  <si>
    <t>YTC</t>
  </si>
  <si>
    <t>YTC-Yellowtail amberjack</t>
  </si>
  <si>
    <t>YTC-Sériole chicard</t>
  </si>
  <si>
    <t>Seriola lalandi</t>
  </si>
  <si>
    <t>ALX</t>
  </si>
  <si>
    <t>ALX-Long snouted lancetfish</t>
  </si>
  <si>
    <t>ALX-Lancier longnez</t>
  </si>
  <si>
    <t>Alepisaurus ferox</t>
  </si>
  <si>
    <t>CNT</t>
  </si>
  <si>
    <t>CNT-Ocean triggerfish</t>
  </si>
  <si>
    <t>CNT-Baliste rude</t>
  </si>
  <si>
    <t>Canthidermis maculata</t>
  </si>
  <si>
    <t>DIO</t>
  </si>
  <si>
    <t>DIO-Globefish, porcupine fish</t>
  </si>
  <si>
    <t>DIO-Porcs-epics</t>
  </si>
  <si>
    <t>Diodontidae</t>
  </si>
  <si>
    <t>LOB</t>
  </si>
  <si>
    <t>LOB-Tripletail</t>
  </si>
  <si>
    <t>LOB-Croupia roche</t>
  </si>
  <si>
    <t>Lobotes surinamensis</t>
  </si>
  <si>
    <t>ALO</t>
  </si>
  <si>
    <t>ALO-Short snouted lancetfish</t>
  </si>
  <si>
    <t>Alepisaurus brevirostris</t>
  </si>
  <si>
    <t>AMX</t>
  </si>
  <si>
    <t>AMX-Amberjacks nei</t>
  </si>
  <si>
    <t>AMX-Sérioles nca</t>
  </si>
  <si>
    <t>Seriola spp</t>
  </si>
  <si>
    <t>EHN</t>
  </si>
  <si>
    <t>EHN-Live sharksucker</t>
  </si>
  <si>
    <t>EHN-Rémora commun</t>
  </si>
  <si>
    <t>Echeneis naucrates</t>
  </si>
  <si>
    <t>LLL</t>
  </si>
  <si>
    <t>LLL-Crested oarfish</t>
  </si>
  <si>
    <t>LLL-Oarfish aigrettes</t>
  </si>
  <si>
    <t>Lophotus lacepede</t>
  </si>
  <si>
    <t>MOX</t>
  </si>
  <si>
    <t>MOX-Ocean sunfish</t>
  </si>
  <si>
    <t>MOX-Poisson lune</t>
  </si>
  <si>
    <t>Mola mola</t>
  </si>
  <si>
    <t>MRW</t>
  </si>
  <si>
    <t>MRW-Sharptail mola</t>
  </si>
  <si>
    <t>Masturus lanceolatus</t>
  </si>
  <si>
    <t>AG45</t>
  </si>
  <si>
    <t>AG45-Albacore, yellowfin tuna and bigeye tuna</t>
  </si>
  <si>
    <t>AG45-Germon; Albacore; Patudo; Thon obèse</t>
  </si>
  <si>
    <t>Thunnus alalunga; Thunnus albacares; Thunnus obesus</t>
  </si>
  <si>
    <t>ALI</t>
  </si>
  <si>
    <t>ALI-Lancetfishes nei</t>
  </si>
  <si>
    <t>ALI-Lanciers</t>
  </si>
  <si>
    <t>Alepisaurus spp</t>
  </si>
  <si>
    <t>AGN</t>
  </si>
  <si>
    <t>AGN-Angel shark</t>
  </si>
  <si>
    <t>AGN-Ange de mer commun</t>
  </si>
  <si>
    <t>Squatina squatina</t>
  </si>
  <si>
    <t>CCY</t>
  </si>
  <si>
    <t>CCY-Graceful shark</t>
  </si>
  <si>
    <t>CCY-Requin gracile</t>
  </si>
  <si>
    <t>Carcharhinus amblyrhynchoides</t>
  </si>
  <si>
    <t>HCM</t>
  </si>
  <si>
    <t>HCM-Hooktooth shark</t>
  </si>
  <si>
    <t>HCM-Milandre harpon</t>
  </si>
  <si>
    <t>Comadreja ganchuda</t>
  </si>
  <si>
    <t>HEE</t>
  </si>
  <si>
    <t>HEE-Snaggletooth shark</t>
  </si>
  <si>
    <t>Hemipristis elongata</t>
  </si>
  <si>
    <t>TRK</t>
  </si>
  <si>
    <t>TRK-Houndsharks; smoothhounds nei</t>
  </si>
  <si>
    <t>TRK-Émissoles; requins-hâ nca</t>
  </si>
  <si>
    <t>AG46</t>
  </si>
  <si>
    <t>AG46-Rainbow runner and mackerels</t>
  </si>
  <si>
    <t>AG46-Comète saumon et maquereau</t>
  </si>
  <si>
    <t>Elagatis bipinnulata, Scombridae</t>
  </si>
  <si>
    <t>AG47</t>
  </si>
  <si>
    <t>AG47-Common dolphinfish and rainbow runner</t>
  </si>
  <si>
    <t>AG47-Coryphène commune et Comète saumon</t>
  </si>
  <si>
    <t>Elagatis bipinnulata, Coryphaena hippurus</t>
  </si>
  <si>
    <t>AG60</t>
  </si>
  <si>
    <t>AG60-Other bony fish nei</t>
  </si>
  <si>
    <t>AG60-Poissons non du type thon nca</t>
  </si>
  <si>
    <t>ASZ</t>
  </si>
  <si>
    <t>ASZ-Razorback scabbardfish</t>
  </si>
  <si>
    <t>ASZ-Poisson-sabre rasoir</t>
  </si>
  <si>
    <t>Assurger anzac</t>
  </si>
  <si>
    <t>BRZ</t>
  </si>
  <si>
    <t>BRZ-Pomfrets, ocean breams nei</t>
  </si>
  <si>
    <t>BRZ-Castagnoles nca</t>
  </si>
  <si>
    <t>Bramidae</t>
  </si>
  <si>
    <t>BSX</t>
  </si>
  <si>
    <t>BSX-Groupers, seabasses nei</t>
  </si>
  <si>
    <t>BSX-Serranidés nca</t>
  </si>
  <si>
    <t>Serranidae</t>
  </si>
  <si>
    <t>CEO</t>
  </si>
  <si>
    <t>CEO-Rudderfish</t>
  </si>
  <si>
    <t>CEO-Centrolophe noir</t>
  </si>
  <si>
    <t>Centrolophus niger</t>
  </si>
  <si>
    <t>CGX</t>
  </si>
  <si>
    <t>CGX-Carangids nei</t>
  </si>
  <si>
    <t>CGX-Carangidés nca</t>
  </si>
  <si>
    <t>Carangidae</t>
  </si>
  <si>
    <t>CUT</t>
  </si>
  <si>
    <t>CUT-Hairtails, scabbardfishes nei</t>
  </si>
  <si>
    <t>CUT-Poissons-sabres, sabres nca</t>
  </si>
  <si>
    <t>Trichiuridae</t>
  </si>
  <si>
    <t>GBA</t>
  </si>
  <si>
    <t>GBA-Great barracuda</t>
  </si>
  <si>
    <t>GBA-Barracuda</t>
  </si>
  <si>
    <t>Sphyraena barracuda</t>
  </si>
  <si>
    <t>GES</t>
  </si>
  <si>
    <t>GES-Snake mackerel</t>
  </si>
  <si>
    <t>GES-Escolier serpent</t>
  </si>
  <si>
    <t>Gempylus serpens</t>
  </si>
  <si>
    <t>GUQ</t>
  </si>
  <si>
    <t>GUQ-Leafscale gulper shark</t>
  </si>
  <si>
    <t>GUQ-Squale-chagrin de l'Atlantique</t>
  </si>
  <si>
    <t>Centrophorus squamosus</t>
  </si>
  <si>
    <t>LEC</t>
  </si>
  <si>
    <t>LEC-Escolar</t>
  </si>
  <si>
    <t>LEC-Escolier noir</t>
  </si>
  <si>
    <t>LMD</t>
  </si>
  <si>
    <t>LMD-Salmon shark</t>
  </si>
  <si>
    <t>LMD-Requin-taupe saumon</t>
  </si>
  <si>
    <t>Lamna ditropis</t>
  </si>
  <si>
    <t>NEN</t>
  </si>
  <si>
    <t>NEN-Black gemfish</t>
  </si>
  <si>
    <t>NEN-Escolier long nez</t>
  </si>
  <si>
    <t>Nesiarchus nasutus</t>
  </si>
  <si>
    <t>PLS</t>
  </si>
  <si>
    <t>PLS-Pelagic stingray</t>
  </si>
  <si>
    <t>PLS-Pastenague violette</t>
  </si>
  <si>
    <t>Dasyatis violacea</t>
  </si>
  <si>
    <t>POA</t>
  </si>
  <si>
    <t>POA-Atlantic pomfret</t>
  </si>
  <si>
    <t>POA-Grande castagnole</t>
  </si>
  <si>
    <t>Brama brama</t>
  </si>
  <si>
    <t>PUX</t>
  </si>
  <si>
    <t>PUX-Puffers nei</t>
  </si>
  <si>
    <t>PUX-Compères nca</t>
  </si>
  <si>
    <t>Tetraodontidae</t>
  </si>
  <si>
    <t>RSK</t>
  </si>
  <si>
    <t>RSK-Requiem sharks nei</t>
  </si>
  <si>
    <t>RSK-Requins nca</t>
  </si>
  <si>
    <t>RXP</t>
  </si>
  <si>
    <t>RXP-Royal escolar</t>
  </si>
  <si>
    <t>RXP-Escolier royal</t>
  </si>
  <si>
    <t>Rexea prometheoides</t>
  </si>
  <si>
    <t>RZV</t>
  </si>
  <si>
    <t>RZV-Slender sunfish</t>
  </si>
  <si>
    <t>Ranzania laevis</t>
  </si>
  <si>
    <t>TAL</t>
  </si>
  <si>
    <t>TAL-Big-scale pomfret</t>
  </si>
  <si>
    <t>Taractichthys longipinnis</t>
  </si>
  <si>
    <t>TCR</t>
  </si>
  <si>
    <t>TCR-Dagger pomfret</t>
  </si>
  <si>
    <t>Taractes rubescens</t>
  </si>
  <si>
    <t>TEE</t>
  </si>
  <si>
    <t>TEE-Pacific fanfish</t>
  </si>
  <si>
    <t>Pteraclis aesticola</t>
  </si>
  <si>
    <t>TRQ</t>
  </si>
  <si>
    <t>TRQ-Mediterranean dealfish</t>
  </si>
  <si>
    <t>TRQ-Poisson ruban</t>
  </si>
  <si>
    <t>Trachipterus trachypterus</t>
  </si>
  <si>
    <t>TRX</t>
  </si>
  <si>
    <t>TRX-Ribbonfishes</t>
  </si>
  <si>
    <t>TRX-Trachyptères, poissons-rubans</t>
  </si>
  <si>
    <t>Trachipteridae</t>
  </si>
  <si>
    <t>TST</t>
  </si>
  <si>
    <t>TST-Sickle pomfret</t>
  </si>
  <si>
    <t>Taractichthys steindachneri</t>
  </si>
  <si>
    <t>TWK</t>
  </si>
  <si>
    <t>TWK-Slender ribbonfish</t>
  </si>
  <si>
    <t>Trachipterus ishikawae</t>
  </si>
  <si>
    <t>YTL</t>
  </si>
  <si>
    <t>YTL-Longfin yellowtail</t>
  </si>
  <si>
    <t>YTL-Sériole limon</t>
  </si>
  <si>
    <t>Seriola rivoliana</t>
  </si>
  <si>
    <t>LTA</t>
  </si>
  <si>
    <t>LTA-Little tunny(=Atl.black skipj)</t>
  </si>
  <si>
    <t>LTA-Thonine commune</t>
  </si>
  <si>
    <t>Euthynnus alletteratus</t>
  </si>
  <si>
    <t>RMM</t>
  </si>
  <si>
    <t>Mobula mobular</t>
  </si>
  <si>
    <t>BIS</t>
  </si>
  <si>
    <t>BIS-Bigeye scad</t>
  </si>
  <si>
    <t>BIS-Sélar coulisou</t>
  </si>
  <si>
    <t>Selar crumenophthalmus</t>
  </si>
  <si>
    <t>RUS</t>
  </si>
  <si>
    <t>RUS-Indian scad</t>
  </si>
  <si>
    <t>RUS-Comète indienne</t>
  </si>
  <si>
    <t>Decapterus russelli</t>
  </si>
  <si>
    <t>EJA</t>
  </si>
  <si>
    <t>EJA-Needle cuttlefish</t>
  </si>
  <si>
    <t>EJA-Seiche aiguille</t>
  </si>
  <si>
    <t>Sepia aculeata</t>
  </si>
  <si>
    <t>CTU</t>
  </si>
  <si>
    <t>CTU-Gummy shark</t>
  </si>
  <si>
    <t>CTU-Émissole gommée</t>
  </si>
  <si>
    <t>Mustelus antarcticus</t>
  </si>
  <si>
    <t>TFM</t>
  </si>
  <si>
    <t>TFM-Whiskery shark</t>
  </si>
  <si>
    <t>TFM-Émissole moustachue</t>
  </si>
  <si>
    <t>Furgaleus macki</t>
  </si>
  <si>
    <t>GTF</t>
  </si>
  <si>
    <t>GTF-Guitarfishes, etc. nei</t>
  </si>
  <si>
    <t>GTF-Guitares, etc. nca</t>
  </si>
  <si>
    <t>Rhinobatidae</t>
  </si>
  <si>
    <t>QUM</t>
  </si>
  <si>
    <t>QUM-Queensland school mackerel</t>
  </si>
  <si>
    <t>QUM-Thazard du Queensland</t>
  </si>
  <si>
    <t>Scomberomorus queenslandicus</t>
  </si>
  <si>
    <t>SHM</t>
  </si>
  <si>
    <t>SHM-Shark mackerel</t>
  </si>
  <si>
    <t>SHM-Thazard requin</t>
  </si>
  <si>
    <t>Grammatorcynus bicarinatus</t>
  </si>
  <si>
    <t>MAE</t>
  </si>
  <si>
    <t>MAE-Spotted eagle ray</t>
  </si>
  <si>
    <t>MAE-Aigle de mer léopard</t>
  </si>
  <si>
    <t>Aetobatus narinari</t>
  </si>
  <si>
    <t>BON</t>
  </si>
  <si>
    <t>BON-Atlantic bonito</t>
  </si>
  <si>
    <t>BON-Bonite à dos rayé</t>
  </si>
  <si>
    <t>Sarda sarda</t>
  </si>
  <si>
    <t>TRG</t>
  </si>
  <si>
    <t>TRG-Grey triggerfish</t>
  </si>
  <si>
    <t>TRG-Baliste cabri</t>
  </si>
  <si>
    <t>Balistes carolinensis</t>
  </si>
  <si>
    <t>TRI</t>
  </si>
  <si>
    <t>TRI-Triggerfishes, durgons nei</t>
  </si>
  <si>
    <t>TRI-Balistes nca</t>
  </si>
  <si>
    <t>Balistidae</t>
  </si>
  <si>
    <t>ISB</t>
  </si>
  <si>
    <t>ISB-Cookie cutter shark</t>
  </si>
  <si>
    <t>ISB-Squalelet féroce</t>
  </si>
  <si>
    <t>Isistius brasiliensis</t>
  </si>
  <si>
    <t>TSK</t>
  </si>
  <si>
    <t>TSK-Flapnose houndshark</t>
  </si>
  <si>
    <t>TSK-Virli à clapet</t>
  </si>
  <si>
    <t>Scylliogaleus quecketti</t>
  </si>
  <si>
    <t>RMA</t>
  </si>
  <si>
    <t>RMA-Manta de récif</t>
  </si>
  <si>
    <t>SUU</t>
  </si>
  <si>
    <t>SUU-Australian angelshark</t>
  </si>
  <si>
    <t>SUU-Ange de mer australien</t>
  </si>
  <si>
    <t>Squatina australis</t>
  </si>
  <si>
    <t>BSK</t>
  </si>
  <si>
    <t>BSK-Basking shark</t>
  </si>
  <si>
    <t>BSK-Requin pélerin</t>
  </si>
  <si>
    <t>Cetorhinus maximus</t>
  </si>
  <si>
    <t>CCA</t>
  </si>
  <si>
    <t>CCA-Bignose shark</t>
  </si>
  <si>
    <t>CCA-Requin babosse</t>
  </si>
  <si>
    <t>Carcharhinus altimus</t>
  </si>
  <si>
    <t>OQX</t>
  </si>
  <si>
    <t>OQX-Brownbanded bambooshark</t>
  </si>
  <si>
    <t>OQX-Requin-chabot bambou</t>
  </si>
  <si>
    <t>Chiloscyllium punctatum</t>
  </si>
  <si>
    <t>MRJ</t>
  </si>
  <si>
    <t>MRJ-Javanese cownose ray (Flapnose ray)</t>
  </si>
  <si>
    <t>MRJ-Mourine javanaise</t>
  </si>
  <si>
    <t>Rhinoptera javanica</t>
  </si>
  <si>
    <t>RMT</t>
  </si>
  <si>
    <t>RMT-Chilean devilray (sicklefin devilray)</t>
  </si>
  <si>
    <t>RMT-Diable du Chili</t>
  </si>
  <si>
    <t>Mobula tarapacana</t>
  </si>
  <si>
    <t>NGB</t>
  </si>
  <si>
    <t>NGB-Lemon shark</t>
  </si>
  <si>
    <t>NGB-Requin citron</t>
  </si>
  <si>
    <t>Negaprion brevirostris</t>
  </si>
  <si>
    <t>EUB</t>
  </si>
  <si>
    <t>EUB-Winghead shark</t>
  </si>
  <si>
    <t>EUB-Requin-marteau planeur</t>
  </si>
  <si>
    <t>Eusphyra blochii</t>
  </si>
  <si>
    <t>CWZ</t>
  </si>
  <si>
    <t>CWZ-Carcharhinus sharks nei</t>
  </si>
  <si>
    <t>CWZ-Requins Carcharhinus nca</t>
  </si>
  <si>
    <t>Carcharhinus spp</t>
  </si>
  <si>
    <t>SQU</t>
  </si>
  <si>
    <t>SQU-Various squids nei</t>
  </si>
  <si>
    <t>SQU-Calmars, encornets nca</t>
  </si>
  <si>
    <t>Loliginidae, Ommastrephidae</t>
  </si>
  <si>
    <t>CLP</t>
  </si>
  <si>
    <t>CLP-Herrings, sardines nei</t>
  </si>
  <si>
    <t>CLP-Harengs, sardines nca</t>
  </si>
  <si>
    <t>Clupeidae</t>
  </si>
  <si>
    <t>MAX</t>
  </si>
  <si>
    <t>MAX-Mackerels nei</t>
  </si>
  <si>
    <t>MAX-Maquereaux nca</t>
  </si>
  <si>
    <t>Scombridae</t>
  </si>
  <si>
    <t>RSA</t>
  </si>
  <si>
    <t>RSA-Japanese scad</t>
  </si>
  <si>
    <t>RSA-Comète japonaise</t>
  </si>
  <si>
    <t>Decapterus maruadsi</t>
  </si>
  <si>
    <t>SAX</t>
  </si>
  <si>
    <t>SAX-Sauries nei</t>
  </si>
  <si>
    <t>SAX-Balaous, bananes de mer nca</t>
  </si>
  <si>
    <t>Scomberesocidae</t>
  </si>
  <si>
    <t>JAX</t>
  </si>
  <si>
    <t>JAX-Jack and horse mackerels nei</t>
  </si>
  <si>
    <t>JAX-Chinchards noirs nca</t>
  </si>
  <si>
    <t>Trachurus spp</t>
  </si>
  <si>
    <t>MSB</t>
  </si>
  <si>
    <t>MSB-River sardine</t>
  </si>
  <si>
    <t>Mesobola brevianalis</t>
  </si>
  <si>
    <t>CHP</t>
  </si>
  <si>
    <t>CHP-South American pilchard</t>
  </si>
  <si>
    <t>CHP-Pilchard sudaméricain</t>
  </si>
  <si>
    <t>Sardinops sagax</t>
  </si>
  <si>
    <t>OMZ</t>
  </si>
  <si>
    <t>OMZ-Squids nei</t>
  </si>
  <si>
    <t>OMZ-Encornets nca</t>
  </si>
  <si>
    <t>Ommastrephidae</t>
  </si>
  <si>
    <t>MIL</t>
  </si>
  <si>
    <t>MIL-Milkfish</t>
  </si>
  <si>
    <t>MIL-Chano</t>
  </si>
  <si>
    <t>Chanos chanos</t>
  </si>
  <si>
    <t>BSR</t>
  </si>
  <si>
    <t>BSR-Brazilian sardinella</t>
  </si>
  <si>
    <t>BSR-Sardinelle de Brésil</t>
  </si>
  <si>
    <t>Sardinella brasiliensis</t>
  </si>
  <si>
    <t>ENR</t>
  </si>
  <si>
    <t>ENR-Anchovies nei</t>
  </si>
  <si>
    <t>ENR-Anchois nca</t>
  </si>
  <si>
    <t>Engraulis spp</t>
  </si>
  <si>
    <t>JAN</t>
  </si>
  <si>
    <t>JAN-Japanese anchovy</t>
  </si>
  <si>
    <t>JAN-Anchois japonais</t>
  </si>
  <si>
    <t>Engraulis japonicus</t>
  </si>
  <si>
    <t>SRH</t>
  </si>
  <si>
    <t>SRH-Silver-stripe round herring</t>
  </si>
  <si>
    <t>SRH-Hareng gracile</t>
  </si>
  <si>
    <t>Spratelloides gracilis</t>
  </si>
  <si>
    <t>PIL</t>
  </si>
  <si>
    <t>PIL-European pilchard(=Sardine)</t>
  </si>
  <si>
    <t>PIL-Sardine commune</t>
  </si>
  <si>
    <t>Sardina pilchardus</t>
  </si>
  <si>
    <t>JAA</t>
  </si>
  <si>
    <t>JAA-Blue jack mackerel</t>
  </si>
  <si>
    <t>JAA-Chinchard du large</t>
  </si>
  <si>
    <t>Trachurus picturatus</t>
  </si>
  <si>
    <t>SAA</t>
  </si>
  <si>
    <t>SAA-Round sardinella</t>
  </si>
  <si>
    <t>SAA-Allache</t>
  </si>
  <si>
    <t>Sardinella aurita</t>
  </si>
  <si>
    <t>SAE</t>
  </si>
  <si>
    <t>SAE-Madeiran sardinella</t>
  </si>
  <si>
    <t>SAE-Grande allache</t>
  </si>
  <si>
    <t>Sardinella maderensis</t>
  </si>
  <si>
    <t>MAC</t>
  </si>
  <si>
    <t>MAC-Atlantic mackerel</t>
  </si>
  <si>
    <t>MAC-Maquereau commun</t>
  </si>
  <si>
    <t>Scomber scombrus</t>
  </si>
  <si>
    <t>CJX</t>
  </si>
  <si>
    <t>CJX-Fusiliers nei</t>
  </si>
  <si>
    <t>CJX-Fusiliers nca</t>
  </si>
  <si>
    <t>Caesionidae</t>
  </si>
  <si>
    <t>APO</t>
  </si>
  <si>
    <t>APO-Cardinal fishes, etc. nei</t>
  </si>
  <si>
    <t>APO-Apogonidés nca</t>
  </si>
  <si>
    <t>Apogonidae</t>
  </si>
  <si>
    <t>SPD</t>
  </si>
  <si>
    <t>SPD-Delicate round herring</t>
  </si>
  <si>
    <t>SPD-Hareng rond</t>
  </si>
  <si>
    <t>Spratelloides delicatulus</t>
  </si>
  <si>
    <t>SIL</t>
  </si>
  <si>
    <t>SIL-Silversides (sand smelts) nei</t>
  </si>
  <si>
    <t>SIL-Athérinidés nca</t>
  </si>
  <si>
    <t>Atherinidae</t>
  </si>
  <si>
    <t>BOG</t>
  </si>
  <si>
    <t>BOG-Bogue</t>
  </si>
  <si>
    <t>Boops boops</t>
  </si>
  <si>
    <t>BOC</t>
  </si>
  <si>
    <t>BOC-Boarfish</t>
  </si>
  <si>
    <t>BOC-Sanglier</t>
  </si>
  <si>
    <t>Capros aper</t>
  </si>
  <si>
    <t>SNS</t>
  </si>
  <si>
    <t>SNS-Longspine snipefish</t>
  </si>
  <si>
    <t>SNS-Bécasse de mer</t>
  </si>
  <si>
    <t>Macroramphosus scolopax</t>
  </si>
  <si>
    <t>MAS</t>
  </si>
  <si>
    <t>MAS-Chub mackerel</t>
  </si>
  <si>
    <t>MAS-Maquereau espagnol</t>
  </si>
  <si>
    <t>Scomber japonicus</t>
  </si>
  <si>
    <t>MYT</t>
  </si>
  <si>
    <t>MYT-France (Mayotte)</t>
  </si>
  <si>
    <t>Destination</t>
  </si>
  <si>
    <t>RMK</t>
  </si>
  <si>
    <t>RMK-Shortfin pygmy devil ray</t>
  </si>
  <si>
    <t>Mobula kuhlii</t>
  </si>
  <si>
    <t>RMO-Smoothtail mobula (Bentfin devilray)</t>
  </si>
  <si>
    <t>RMB-Giant oceanic manta ray</t>
  </si>
  <si>
    <t>Mobula (Manta) birostris</t>
  </si>
  <si>
    <t>AG30-Mantas, devil rays nei</t>
  </si>
  <si>
    <t>SSP-Shortbill spearfish</t>
  </si>
  <si>
    <t>RMM-Spinetail / giant devil ray</t>
  </si>
  <si>
    <t>RMA-Alfred manta (reef manta ray)</t>
  </si>
  <si>
    <t>Mobula (Manta) alfredi</t>
  </si>
  <si>
    <t>AG70</t>
  </si>
  <si>
    <t>AG70-Giant oceanic manta ray and Alfred manta (reef manta ray)</t>
  </si>
  <si>
    <t>Manta spp.</t>
  </si>
  <si>
    <t>AG71</t>
  </si>
  <si>
    <t>AG71-Devil rays nei</t>
  </si>
  <si>
    <t>Mobula spp.</t>
  </si>
  <si>
    <t>ANX</t>
  </si>
  <si>
    <t>ANX-Anchovies, etc. nei</t>
  </si>
  <si>
    <t>ANX-Anchois, etc. nca</t>
  </si>
  <si>
    <t>Engraulidae</t>
  </si>
  <si>
    <t xml:space="preserve">DOB </t>
  </si>
  <si>
    <t>DOB -Wolf- herring</t>
  </si>
  <si>
    <t>DOB -Chirocentre dorab</t>
  </si>
  <si>
    <t>Chirocentrus dorab</t>
  </si>
  <si>
    <t>EAG</t>
  </si>
  <si>
    <t>EAG-Eagle Rays</t>
  </si>
  <si>
    <t>EAG-Aigles de mer nca</t>
  </si>
  <si>
    <t>Myliobatidae</t>
  </si>
  <si>
    <t>FLY</t>
  </si>
  <si>
    <t>FLY-Flyingfishes nei</t>
  </si>
  <si>
    <t>FLY-Exocets nca</t>
  </si>
  <si>
    <t>Exocoetidae</t>
  </si>
  <si>
    <t>POY</t>
  </si>
  <si>
    <t>POY-Ponyfishes(=Slipmouths)</t>
  </si>
  <si>
    <t>POY-Sapsap</t>
  </si>
  <si>
    <t>Leiognathus spp</t>
  </si>
  <si>
    <t>SAG</t>
  </si>
  <si>
    <t>SAG-Goldstripe sardinella</t>
  </si>
  <si>
    <t>SAG-Sardinelle dorée</t>
  </si>
  <si>
    <t>Sardinella gibbosa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</si>
</sst>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59" x14ac:knownFonts="1">
    <font>
      <sz val="10"/>
      <name val="Arial"/>
    </font>
    <font>
      <sz val="10"/>
      <name val="Arial"/>
      <family val="2"/>
    </font>
    <font>
      <b/>
      <sz val="10"/>
      <name val="Arial"/>
      <family val="2"/>
    </font>
    <font>
      <b/>
      <sz val="10"/>
      <color indexed="48"/>
      <name val="Arial"/>
      <family val="2"/>
    </font>
    <font>
      <sz val="8"/>
      <name val="Arial"/>
      <family val="2"/>
    </font>
    <font>
      <b/>
      <sz val="9"/>
      <name val="Perpetua"/>
      <family val="1"/>
    </font>
    <font>
      <sz val="9"/>
      <color indexed="8"/>
      <name val="Perpetua"/>
      <family val="1"/>
    </font>
    <font>
      <i/>
      <sz val="9"/>
      <color indexed="8"/>
      <name val="Perpetua"/>
      <family val="1"/>
    </font>
    <font>
      <sz val="9"/>
      <name val="Perpetua"/>
      <family val="1"/>
    </font>
    <font>
      <vertAlign val="superscript"/>
      <sz val="11"/>
      <color indexed="8"/>
      <name val="Wingdings"/>
      <charset val="2"/>
    </font>
    <font>
      <sz val="10"/>
      <color indexed="9"/>
      <name val="Arial"/>
      <family val="2"/>
    </font>
    <font>
      <b/>
      <i/>
      <sz val="10"/>
      <name val="Arial"/>
      <family val="2"/>
    </font>
    <font>
      <sz val="10"/>
      <color indexed="8"/>
      <name val="Arial"/>
      <family val="2"/>
    </font>
    <font>
      <sz val="10"/>
      <name val="Arial"/>
      <family val="2"/>
    </font>
    <font>
      <b/>
      <sz val="12"/>
      <color indexed="42"/>
      <name val="Arial"/>
      <family val="2"/>
    </font>
    <font>
      <u/>
      <sz val="10"/>
      <color indexed="12"/>
      <name val="Arial"/>
      <family val="2"/>
    </font>
    <font>
      <b/>
      <sz val="10"/>
      <color indexed="9"/>
      <name val="Arial"/>
      <family val="2"/>
    </font>
    <font>
      <sz val="10"/>
      <color indexed="9"/>
      <name val="Arial"/>
      <family val="2"/>
    </font>
    <font>
      <b/>
      <sz val="9"/>
      <name val="Arial"/>
      <family val="2"/>
    </font>
    <font>
      <sz val="12"/>
      <name val="Times New Roman"/>
      <family val="1"/>
    </font>
    <font>
      <sz val="10"/>
      <name val="Book Antiqua"/>
      <family val="1"/>
    </font>
    <font>
      <sz val="8"/>
      <name val="Arial"/>
      <family val="2"/>
    </font>
    <font>
      <sz val="8"/>
      <name val="Arial"/>
      <family val="2"/>
    </font>
    <font>
      <sz val="10"/>
      <color indexed="8"/>
      <name val="Arial"/>
      <family val="2"/>
    </font>
    <font>
      <u/>
      <sz val="10"/>
      <color indexed="12"/>
      <name val="Arial"/>
      <family val="2"/>
    </font>
    <font>
      <sz val="9"/>
      <color indexed="49"/>
      <name val="Arial"/>
      <family val="2"/>
    </font>
    <font>
      <sz val="10"/>
      <color indexed="49"/>
      <name val="Arial"/>
      <family val="2"/>
    </font>
    <font>
      <b/>
      <sz val="10"/>
      <color indexed="49"/>
      <name val="Arial"/>
      <family val="2"/>
    </font>
    <font>
      <u/>
      <sz val="10"/>
      <color indexed="10"/>
      <name val="Arial"/>
      <family val="2"/>
    </font>
    <font>
      <u/>
      <sz val="10"/>
      <color indexed="21"/>
      <name val="Arial"/>
      <family val="2"/>
    </font>
    <font>
      <b/>
      <sz val="10"/>
      <color indexed="62"/>
      <name val="Arial"/>
      <family val="2"/>
    </font>
    <font>
      <sz val="9"/>
      <color indexed="8"/>
      <name val="Courier New"/>
      <family val="3"/>
    </font>
    <font>
      <sz val="10"/>
      <color indexed="21"/>
      <name val="Arial"/>
      <family val="2"/>
    </font>
    <font>
      <b/>
      <sz val="12"/>
      <color indexed="43"/>
      <name val="Arial"/>
      <family val="2"/>
    </font>
    <font>
      <b/>
      <sz val="11"/>
      <color indexed="56"/>
      <name val="Arial"/>
      <family val="2"/>
    </font>
    <font>
      <sz val="9"/>
      <color indexed="8"/>
      <name val="Arial Narrow"/>
      <family val="2"/>
    </font>
    <font>
      <b/>
      <sz val="12"/>
      <name val="Times New Roman"/>
      <family val="1"/>
    </font>
    <font>
      <i/>
      <sz val="10"/>
      <name val="Arial"/>
      <family val="2"/>
    </font>
    <font>
      <b/>
      <sz val="20"/>
      <name val="Arial"/>
      <family val="2"/>
    </font>
    <font>
      <b/>
      <sz val="18"/>
      <name val="Arial"/>
      <family val="2"/>
    </font>
    <font>
      <u/>
      <sz val="14"/>
      <color indexed="9"/>
      <name val="Wingdings"/>
      <charset val="2"/>
    </font>
    <font>
      <b/>
      <u/>
      <sz val="14"/>
      <color indexed="9"/>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8"/>
      <color rgb="FF000000"/>
      <name val="Tahoma"/>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gray0625">
        <bgColor indexed="9"/>
      </patternFill>
    </fill>
    <fill>
      <patternFill patternType="solid">
        <fgColor indexed="21"/>
        <bgColor indexed="64"/>
      </patternFill>
    </fill>
    <fill>
      <patternFill patternType="solid">
        <fgColor indexed="10"/>
        <bgColor indexed="64"/>
      </patternFill>
    </fill>
    <fill>
      <patternFill patternType="solid">
        <fgColor indexed="41"/>
        <bgColor indexed="64"/>
      </patternFill>
    </fill>
    <fill>
      <patternFill patternType="solid">
        <fgColor indexed="9"/>
        <bgColor indexed="8"/>
      </patternFill>
    </fill>
    <fill>
      <patternFill patternType="solid">
        <fgColor indexed="22"/>
        <bgColor indexed="64"/>
      </patternFill>
    </fill>
    <fill>
      <patternFill patternType="solid">
        <fgColor indexed="44"/>
        <bgColor indexed="64"/>
      </patternFill>
    </fill>
    <fill>
      <patternFill patternType="solid">
        <fgColor indexed="27"/>
        <bgColor indexed="64"/>
      </patternFill>
    </fill>
    <fill>
      <patternFill patternType="solid">
        <fgColor indexed="43"/>
        <bgColor indexed="64"/>
      </patternFill>
    </fill>
    <fill>
      <patternFill patternType="solid">
        <fgColor theme="0" tint="-0.249977111117893"/>
        <bgColor indexed="64"/>
      </patternFill>
    </fill>
    <fill>
      <patternFill patternType="gray0625"/>
    </fill>
  </fills>
  <borders count="38">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s>
  <cellStyleXfs count="46">
    <xf numFmtId="0" fontId="0" fillId="0" borderId="0"/>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5"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9" borderId="0" applyNumberFormat="0" applyBorder="0" applyAlignment="0" applyProtection="0"/>
    <xf numFmtId="0" fontId="42" fillId="10" borderId="0" applyNumberFormat="0" applyBorder="0" applyAlignment="0" applyProtection="0"/>
    <xf numFmtId="0" fontId="42" fillId="5" borderId="0" applyNumberFormat="0" applyBorder="0" applyAlignment="0" applyProtection="0"/>
    <xf numFmtId="0" fontId="42" fillId="8" borderId="0" applyNumberFormat="0" applyBorder="0" applyAlignment="0" applyProtection="0"/>
    <xf numFmtId="0" fontId="42" fillId="11" borderId="0" applyNumberFormat="0" applyBorder="0" applyAlignment="0" applyProtection="0"/>
    <xf numFmtId="0" fontId="43" fillId="12" borderId="0" applyNumberFormat="0" applyBorder="0" applyAlignment="0" applyProtection="0"/>
    <xf numFmtId="0" fontId="43" fillId="9" borderId="0" applyNumberFormat="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9" fillId="0" borderId="1" applyNumberFormat="0" applyFill="0" applyAlignment="0" applyProtection="0"/>
    <xf numFmtId="0" fontId="50" fillId="0" borderId="2" applyNumberFormat="0" applyFill="0" applyAlignment="0" applyProtection="0"/>
    <xf numFmtId="0" fontId="51" fillId="0" borderId="3" applyNumberFormat="0" applyFill="0" applyAlignment="0" applyProtection="0"/>
    <xf numFmtId="0" fontId="51" fillId="0" borderId="0" applyNumberFormat="0" applyFill="0" applyBorder="0" applyAlignment="0" applyProtection="0"/>
    <xf numFmtId="0" fontId="45" fillId="20" borderId="4" applyNumberFormat="0" applyAlignment="0" applyProtection="0"/>
    <xf numFmtId="0" fontId="53" fillId="0" borderId="5" applyNumberFormat="0" applyFill="0" applyAlignment="0" applyProtection="0"/>
    <xf numFmtId="0" fontId="43" fillId="16" borderId="0" applyNumberFormat="0" applyBorder="0" applyAlignment="0" applyProtection="0"/>
    <xf numFmtId="0" fontId="43" fillId="17" borderId="0" applyNumberFormat="0" applyBorder="0" applyAlignment="0" applyProtection="0"/>
    <xf numFmtId="0" fontId="43" fillId="18"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9" borderId="0" applyNumberFormat="0" applyBorder="0" applyAlignment="0" applyProtection="0"/>
    <xf numFmtId="0" fontId="48" fillId="4" borderId="0" applyNumberFormat="0" applyBorder="0" applyAlignment="0" applyProtection="0"/>
    <xf numFmtId="44" fontId="1" fillId="0" borderId="0" applyFont="0" applyFill="0" applyBorder="0" applyAlignment="0" applyProtection="0"/>
    <xf numFmtId="0" fontId="52" fillId="7" borderId="4" applyNumberFormat="0" applyAlignment="0" applyProtection="0"/>
    <xf numFmtId="0" fontId="15" fillId="0" borderId="0" applyNumberFormat="0" applyFill="0" applyBorder="0" applyAlignment="0" applyProtection="0">
      <alignment vertical="top"/>
      <protection locked="0"/>
    </xf>
    <xf numFmtId="0" fontId="44" fillId="3" borderId="0" applyNumberFormat="0" applyBorder="0" applyAlignment="0" applyProtection="0"/>
    <xf numFmtId="0" fontId="54" fillId="22" borderId="0" applyNumberFormat="0" applyBorder="0" applyAlignment="0" applyProtection="0"/>
    <xf numFmtId="0" fontId="12" fillId="0" borderId="0"/>
    <xf numFmtId="0" fontId="23" fillId="0" borderId="0"/>
    <xf numFmtId="0" fontId="23" fillId="0" borderId="0"/>
    <xf numFmtId="0" fontId="13" fillId="23" borderId="7" applyNumberFormat="0" applyFont="0" applyAlignment="0" applyProtection="0"/>
    <xf numFmtId="0" fontId="55" fillId="20" borderId="8" applyNumberFormat="0" applyAlignment="0" applyProtection="0"/>
    <xf numFmtId="0" fontId="57" fillId="0" borderId="0" applyNumberFormat="0" applyFill="0" applyBorder="0" applyAlignment="0" applyProtection="0"/>
    <xf numFmtId="0" fontId="47" fillId="0" borderId="0" applyNumberFormat="0" applyFill="0" applyBorder="0" applyAlignment="0" applyProtection="0"/>
    <xf numFmtId="0" fontId="56" fillId="0" borderId="0" applyNumberFormat="0" applyFill="0" applyBorder="0" applyAlignment="0" applyProtection="0"/>
    <xf numFmtId="0" fontId="46" fillId="21" borderId="6" applyNumberFormat="0" applyAlignment="0" applyProtection="0"/>
  </cellStyleXfs>
  <cellXfs count="215">
    <xf numFmtId="0" fontId="0" fillId="0" borderId="0" xfId="0"/>
    <xf numFmtId="0" fontId="0" fillId="24" borderId="0" xfId="0" applyFill="1"/>
    <xf numFmtId="0" fontId="0" fillId="24" borderId="9" xfId="0" applyFill="1" applyBorder="1"/>
    <xf numFmtId="0" fontId="0" fillId="24" borderId="10" xfId="0" applyFill="1" applyBorder="1"/>
    <xf numFmtId="0" fontId="0" fillId="25" borderId="0" xfId="0" applyFill="1"/>
    <xf numFmtId="0" fontId="19" fillId="0" borderId="0" xfId="0" applyFont="1"/>
    <xf numFmtId="0" fontId="25" fillId="24" borderId="0" xfId="0" applyFont="1" applyFill="1"/>
    <xf numFmtId="0" fontId="15" fillId="24" borderId="10" xfId="34" applyFill="1" applyBorder="1" applyAlignment="1" applyProtection="1"/>
    <xf numFmtId="0" fontId="24" fillId="24" borderId="0" xfId="34" applyFont="1" applyFill="1" applyAlignment="1" applyProtection="1"/>
    <xf numFmtId="0" fontId="20" fillId="24" borderId="0" xfId="0" applyFont="1" applyFill="1"/>
    <xf numFmtId="0" fontId="12" fillId="24" borderId="10" xfId="37" applyFill="1" applyBorder="1"/>
    <xf numFmtId="0" fontId="5" fillId="24" borderId="10" xfId="0" applyFont="1" applyFill="1" applyBorder="1" applyAlignment="1">
      <alignment horizontal="center"/>
    </xf>
    <xf numFmtId="0" fontId="5" fillId="24" borderId="10" xfId="0" applyFont="1" applyFill="1" applyBorder="1"/>
    <xf numFmtId="0" fontId="5" fillId="24" borderId="10" xfId="0" applyFont="1" applyFill="1" applyBorder="1" applyAlignment="1">
      <alignment wrapText="1"/>
    </xf>
    <xf numFmtId="0" fontId="5" fillId="24" borderId="11" xfId="0" applyFont="1" applyFill="1" applyBorder="1" applyAlignment="1">
      <alignment vertical="top"/>
    </xf>
    <xf numFmtId="0" fontId="6" fillId="24" borderId="10" xfId="0" applyFont="1" applyFill="1" applyBorder="1" applyAlignment="1">
      <alignment vertical="top"/>
    </xf>
    <xf numFmtId="0" fontId="6" fillId="24" borderId="0" xfId="0" applyFont="1" applyFill="1" applyAlignment="1">
      <alignment vertical="top"/>
    </xf>
    <xf numFmtId="0" fontId="6" fillId="24" borderId="10" xfId="0" applyFont="1" applyFill="1" applyBorder="1" applyAlignment="1">
      <alignment horizontal="center" vertical="top"/>
    </xf>
    <xf numFmtId="0" fontId="7" fillId="24" borderId="10" xfId="0" applyFont="1" applyFill="1" applyBorder="1" applyAlignment="1">
      <alignment vertical="top"/>
    </xf>
    <xf numFmtId="0" fontId="8" fillId="24" borderId="10" xfId="0" applyFont="1" applyFill="1" applyBorder="1" applyAlignment="1">
      <alignment vertical="top"/>
    </xf>
    <xf numFmtId="0" fontId="6" fillId="24" borderId="0" xfId="0" applyFont="1" applyFill="1" applyAlignment="1">
      <alignment vertical="top" wrapText="1"/>
    </xf>
    <xf numFmtId="0" fontId="6" fillId="24" borderId="10" xfId="0" applyFont="1" applyFill="1" applyBorder="1" applyAlignment="1">
      <alignment horizontal="right" vertical="top"/>
    </xf>
    <xf numFmtId="0" fontId="6" fillId="24" borderId="10" xfId="0" applyFont="1" applyFill="1" applyBorder="1" applyAlignment="1">
      <alignment horizontal="center"/>
    </xf>
    <xf numFmtId="0" fontId="6" fillId="24" borderId="10" xfId="0" applyFont="1" applyFill="1" applyBorder="1"/>
    <xf numFmtId="0" fontId="6" fillId="24" borderId="9" xfId="0" applyFont="1" applyFill="1" applyBorder="1" applyAlignment="1">
      <alignment vertical="top"/>
    </xf>
    <xf numFmtId="0" fontId="23" fillId="24" borderId="10" xfId="39" applyFill="1" applyBorder="1"/>
    <xf numFmtId="0" fontId="0" fillId="24" borderId="0" xfId="0" applyFill="1" applyProtection="1">
      <protection locked="0"/>
    </xf>
    <xf numFmtId="0" fontId="0" fillId="24" borderId="12" xfId="0" applyFill="1" applyBorder="1"/>
    <xf numFmtId="0" fontId="0" fillId="24" borderId="13" xfId="0" applyFill="1" applyBorder="1"/>
    <xf numFmtId="0" fontId="0" fillId="24" borderId="14" xfId="0" applyFill="1" applyBorder="1"/>
    <xf numFmtId="0" fontId="0" fillId="24" borderId="15" xfId="0" applyFill="1" applyBorder="1"/>
    <xf numFmtId="0" fontId="19" fillId="24" borderId="10" xfId="0" applyFont="1" applyFill="1" applyBorder="1"/>
    <xf numFmtId="0" fontId="0" fillId="25" borderId="0" xfId="0" applyFill="1" applyProtection="1">
      <protection locked="0"/>
    </xf>
    <xf numFmtId="0" fontId="0" fillId="24" borderId="0" xfId="0" applyFill="1" applyProtection="1">
      <protection locked="0" hidden="1"/>
    </xf>
    <xf numFmtId="0" fontId="0" fillId="25" borderId="16" xfId="0" applyFill="1" applyBorder="1" applyProtection="1">
      <protection locked="0" hidden="1"/>
    </xf>
    <xf numFmtId="0" fontId="0" fillId="25" borderId="0" xfId="0" applyFill="1" applyProtection="1">
      <protection locked="0" hidden="1"/>
    </xf>
    <xf numFmtId="0" fontId="17" fillId="0" borderId="0" xfId="0" applyFont="1" applyProtection="1">
      <protection locked="0" hidden="1"/>
    </xf>
    <xf numFmtId="0" fontId="11" fillId="24" borderId="0" xfId="0" applyFont="1" applyFill="1"/>
    <xf numFmtId="0" fontId="0" fillId="25" borderId="0" xfId="0" applyFill="1" applyAlignment="1">
      <alignment horizontal="center"/>
    </xf>
    <xf numFmtId="0" fontId="29" fillId="26" borderId="0" xfId="34" applyFont="1" applyFill="1" applyAlignment="1" applyProtection="1"/>
    <xf numFmtId="0" fontId="28" fillId="27" borderId="0" xfId="34" applyFont="1" applyFill="1" applyAlignment="1" applyProtection="1"/>
    <xf numFmtId="0" fontId="6" fillId="0" borderId="17" xfId="0" applyFont="1" applyBorder="1" applyAlignment="1">
      <alignment vertical="top" wrapText="1"/>
    </xf>
    <xf numFmtId="0" fontId="6" fillId="0" borderId="18" xfId="0" applyFont="1" applyBorder="1" applyAlignment="1">
      <alignment horizontal="center" vertical="top" wrapText="1"/>
    </xf>
    <xf numFmtId="0" fontId="23" fillId="29" borderId="10" xfId="38" applyFill="1" applyBorder="1" applyAlignment="1">
      <alignment wrapText="1"/>
    </xf>
    <xf numFmtId="0" fontId="32" fillId="24" borderId="0" xfId="0" applyFont="1" applyFill="1"/>
    <xf numFmtId="0" fontId="28" fillId="24" borderId="0" xfId="34" applyFont="1" applyFill="1" applyAlignment="1" applyProtection="1"/>
    <xf numFmtId="0" fontId="29" fillId="24" borderId="0" xfId="34" applyFont="1" applyFill="1" applyAlignment="1" applyProtection="1"/>
    <xf numFmtId="0" fontId="2" fillId="24" borderId="0" xfId="0" applyFont="1" applyFill="1"/>
    <xf numFmtId="0" fontId="23" fillId="29" borderId="9" xfId="38" applyFill="1" applyBorder="1" applyAlignment="1">
      <alignment wrapText="1"/>
    </xf>
    <xf numFmtId="0" fontId="6" fillId="0" borderId="19" xfId="0" applyFont="1" applyBorder="1" applyAlignment="1">
      <alignment horizontal="center" vertical="top" wrapText="1"/>
    </xf>
    <xf numFmtId="0" fontId="6" fillId="0" borderId="20" xfId="0" applyFont="1" applyBorder="1" applyAlignment="1">
      <alignment vertical="top" wrapText="1"/>
    </xf>
    <xf numFmtId="0" fontId="13" fillId="24" borderId="0" xfId="0" applyFont="1" applyFill="1"/>
    <xf numFmtId="0" fontId="0" fillId="30" borderId="0" xfId="0" applyFill="1" applyProtection="1">
      <protection hidden="1"/>
    </xf>
    <xf numFmtId="0" fontId="2" fillId="30" borderId="21" xfId="0" applyFont="1" applyFill="1" applyBorder="1" applyProtection="1">
      <protection hidden="1"/>
    </xf>
    <xf numFmtId="0" fontId="2" fillId="30" borderId="0" xfId="0" applyFont="1" applyFill="1" applyAlignment="1" applyProtection="1">
      <alignment horizontal="center"/>
      <protection hidden="1"/>
    </xf>
    <xf numFmtId="0" fontId="2" fillId="30" borderId="0" xfId="0" applyFont="1" applyFill="1" applyProtection="1">
      <protection hidden="1"/>
    </xf>
    <xf numFmtId="0" fontId="0" fillId="30" borderId="16" xfId="0" applyFill="1" applyBorder="1" applyProtection="1">
      <protection hidden="1"/>
    </xf>
    <xf numFmtId="0" fontId="0" fillId="30" borderId="20" xfId="0" applyFill="1" applyBorder="1" applyProtection="1">
      <protection hidden="1"/>
    </xf>
    <xf numFmtId="0" fontId="0" fillId="25" borderId="20" xfId="0" applyFill="1" applyBorder="1" applyProtection="1">
      <protection locked="0" hidden="1"/>
    </xf>
    <xf numFmtId="0" fontId="2" fillId="30" borderId="16" xfId="0" applyFont="1" applyFill="1" applyBorder="1" applyProtection="1">
      <protection hidden="1"/>
    </xf>
    <xf numFmtId="0" fontId="2" fillId="30" borderId="20" xfId="0" applyFont="1" applyFill="1" applyBorder="1" applyProtection="1">
      <protection hidden="1"/>
    </xf>
    <xf numFmtId="0" fontId="0" fillId="25" borderId="20" xfId="0" applyFill="1" applyBorder="1" applyAlignment="1" applyProtection="1">
      <alignment horizontal="center"/>
      <protection locked="0" hidden="1"/>
    </xf>
    <xf numFmtId="0" fontId="0" fillId="25" borderId="17" xfId="0" applyFill="1" applyBorder="1" applyProtection="1">
      <protection locked="0" hidden="1"/>
    </xf>
    <xf numFmtId="0" fontId="34" fillId="30" borderId="0" xfId="0" applyFont="1" applyFill="1" applyAlignment="1" applyProtection="1">
      <alignment horizontal="right"/>
      <protection hidden="1"/>
    </xf>
    <xf numFmtId="0" fontId="0" fillId="25" borderId="23" xfId="0" applyFill="1" applyBorder="1"/>
    <xf numFmtId="0" fontId="0" fillId="25" borderId="24" xfId="0" applyFill="1" applyBorder="1"/>
    <xf numFmtId="0" fontId="0" fillId="25" borderId="25" xfId="0" applyFill="1" applyBorder="1"/>
    <xf numFmtId="0" fontId="0" fillId="25" borderId="16" xfId="0" applyFill="1" applyBorder="1"/>
    <xf numFmtId="0" fontId="0" fillId="25" borderId="20" xfId="0" applyFill="1" applyBorder="1"/>
    <xf numFmtId="0" fontId="0" fillId="25" borderId="20" xfId="0" applyFill="1" applyBorder="1" applyAlignment="1" applyProtection="1">
      <alignment horizontal="center"/>
      <protection locked="0"/>
    </xf>
    <xf numFmtId="0" fontId="0" fillId="31" borderId="10" xfId="0" applyFill="1" applyBorder="1" applyProtection="1">
      <protection locked="0"/>
    </xf>
    <xf numFmtId="0" fontId="0" fillId="24" borderId="0" xfId="0" applyFill="1" applyAlignment="1">
      <alignment horizontal="center" vertical="justify" wrapText="1"/>
    </xf>
    <xf numFmtId="0" fontId="6" fillId="0" borderId="10" xfId="0" applyFont="1" applyBorder="1" applyAlignment="1">
      <alignment horizontal="center" vertical="top" wrapText="1"/>
    </xf>
    <xf numFmtId="0" fontId="6" fillId="0" borderId="10" xfId="0" applyFont="1" applyBorder="1" applyAlignment="1">
      <alignment vertical="top" wrapText="1"/>
    </xf>
    <xf numFmtId="0" fontId="0" fillId="31" borderId="9" xfId="0" applyFill="1" applyBorder="1" applyProtection="1">
      <protection locked="0"/>
    </xf>
    <xf numFmtId="0" fontId="7" fillId="0" borderId="10" xfId="0" applyFont="1" applyBorder="1" applyAlignment="1">
      <alignment vertical="top" wrapText="1"/>
    </xf>
    <xf numFmtId="0" fontId="26" fillId="24" borderId="0" xfId="0" applyFont="1" applyFill="1"/>
    <xf numFmtId="0" fontId="27" fillId="24" borderId="0" xfId="0" applyFont="1" applyFill="1"/>
    <xf numFmtId="0" fontId="13" fillId="24" borderId="10" xfId="0" applyFont="1" applyFill="1" applyBorder="1"/>
    <xf numFmtId="0" fontId="2" fillId="24" borderId="10" xfId="0" applyFont="1" applyFill="1" applyBorder="1"/>
    <xf numFmtId="0" fontId="36" fillId="24" borderId="10" xfId="0" applyFont="1" applyFill="1" applyBorder="1"/>
    <xf numFmtId="0" fontId="13" fillId="24" borderId="0" xfId="0" applyFont="1" applyFill="1" applyAlignment="1">
      <alignment horizontal="left" vertical="justify" wrapText="1"/>
    </xf>
    <xf numFmtId="0" fontId="13" fillId="24" borderId="0" xfId="0" applyFont="1" applyFill="1" applyAlignment="1">
      <alignment vertical="justify" wrapText="1"/>
    </xf>
    <xf numFmtId="0" fontId="0" fillId="24" borderId="0" xfId="0" applyFill="1" applyAlignment="1">
      <alignment horizontal="left" vertical="justify" wrapText="1"/>
    </xf>
    <xf numFmtId="0" fontId="0" fillId="24" borderId="0" xfId="0" applyFill="1" applyAlignment="1">
      <alignment horizontal="justify" vertical="justify" wrapText="1"/>
    </xf>
    <xf numFmtId="0" fontId="0" fillId="24" borderId="0" xfId="0" applyFill="1" applyAlignment="1">
      <alignment vertical="justify" wrapText="1"/>
    </xf>
    <xf numFmtId="0" fontId="37" fillId="24" borderId="0" xfId="0" applyFont="1" applyFill="1" applyAlignment="1">
      <alignment horizontal="left" vertical="justify" wrapText="1"/>
    </xf>
    <xf numFmtId="0" fontId="37" fillId="24" borderId="0" xfId="0" applyFont="1" applyFill="1" applyAlignment="1">
      <alignment horizontal="left" vertical="top" wrapText="1"/>
    </xf>
    <xf numFmtId="0" fontId="0" fillId="24" borderId="0" xfId="0" quotePrefix="1" applyFill="1" applyAlignment="1">
      <alignment horizontal="right"/>
    </xf>
    <xf numFmtId="0" fontId="0" fillId="24" borderId="0" xfId="0" applyFill="1" applyAlignment="1">
      <alignment horizontal="right" vertical="justify" wrapText="1"/>
    </xf>
    <xf numFmtId="0" fontId="0" fillId="24" borderId="0" xfId="0" applyFill="1" applyAlignment="1">
      <alignment horizontal="right"/>
    </xf>
    <xf numFmtId="0" fontId="0" fillId="24" borderId="0" xfId="0" applyFill="1" applyAlignment="1">
      <alignment horizontal="left" vertical="top" wrapText="1"/>
    </xf>
    <xf numFmtId="0" fontId="0" fillId="24" borderId="0" xfId="0" applyFill="1" applyAlignment="1">
      <alignment horizontal="left" wrapText="1"/>
    </xf>
    <xf numFmtId="0" fontId="40" fillId="26" borderId="0" xfId="34" applyFont="1" applyFill="1" applyAlignment="1" applyProtection="1">
      <alignment horizontal="center" vertical="center"/>
    </xf>
    <xf numFmtId="0" fontId="41" fillId="26" borderId="0" xfId="34" applyFont="1" applyFill="1" applyAlignment="1" applyProtection="1">
      <alignment horizontal="center" vertical="center"/>
    </xf>
    <xf numFmtId="0" fontId="14" fillId="33" borderId="26" xfId="0" applyFont="1" applyFill="1" applyBorder="1" applyProtection="1">
      <protection locked="0"/>
    </xf>
    <xf numFmtId="0" fontId="14" fillId="33" borderId="27" xfId="0" applyFont="1" applyFill="1" applyBorder="1" applyProtection="1">
      <protection locked="0"/>
    </xf>
    <xf numFmtId="0" fontId="33" fillId="33" borderId="28" xfId="0" applyFont="1" applyFill="1" applyBorder="1" applyProtection="1">
      <protection locked="0"/>
    </xf>
    <xf numFmtId="0" fontId="2" fillId="33" borderId="33" xfId="0" applyFont="1" applyFill="1" applyBorder="1" applyProtection="1">
      <protection locked="0"/>
    </xf>
    <xf numFmtId="0" fontId="0" fillId="25" borderId="34" xfId="0" applyFill="1" applyBorder="1" applyProtection="1">
      <protection locked="0" hidden="1"/>
    </xf>
    <xf numFmtId="0" fontId="13" fillId="31" borderId="10" xfId="0" applyFont="1" applyFill="1" applyBorder="1" applyProtection="1">
      <protection locked="0"/>
    </xf>
    <xf numFmtId="0" fontId="13" fillId="31" borderId="9" xfId="0" applyFont="1" applyFill="1" applyBorder="1" applyProtection="1">
      <protection locked="0"/>
    </xf>
    <xf numFmtId="0" fontId="12" fillId="24" borderId="10" xfId="39" applyFont="1" applyFill="1" applyBorder="1"/>
    <xf numFmtId="0" fontId="2" fillId="30" borderId="10" xfId="0" applyFont="1" applyFill="1" applyBorder="1" applyAlignment="1" applyProtection="1">
      <alignment horizontal="center" vertical="center" wrapText="1"/>
      <protection hidden="1"/>
    </xf>
    <xf numFmtId="0" fontId="38" fillId="25" borderId="24" xfId="0" applyFont="1" applyFill="1" applyBorder="1" applyAlignment="1">
      <alignment horizontal="center"/>
    </xf>
    <xf numFmtId="0" fontId="38" fillId="25" borderId="0" xfId="0" applyFont="1" applyFill="1" applyAlignment="1">
      <alignment horizontal="center"/>
    </xf>
    <xf numFmtId="0" fontId="39" fillId="25" borderId="0" xfId="0" applyFont="1" applyFill="1" applyAlignment="1">
      <alignment horizontal="center"/>
    </xf>
    <xf numFmtId="0" fontId="0" fillId="32" borderId="10" xfId="0" applyFill="1" applyBorder="1" applyAlignment="1" applyProtection="1">
      <alignment horizontal="left" vertical="center" wrapText="1"/>
      <protection locked="0" hidden="1"/>
    </xf>
    <xf numFmtId="0" fontId="0" fillId="31" borderId="29" xfId="0" applyFill="1" applyBorder="1" applyAlignment="1" applyProtection="1">
      <alignment vertical="center"/>
      <protection locked="0" hidden="1"/>
    </xf>
    <xf numFmtId="0" fontId="0" fillId="31" borderId="9" xfId="0" applyFill="1" applyBorder="1" applyAlignment="1" applyProtection="1">
      <alignment vertical="center"/>
      <protection locked="0" hidden="1"/>
    </xf>
    <xf numFmtId="0" fontId="0" fillId="31" borderId="13" xfId="0" applyFill="1" applyBorder="1" applyAlignment="1" applyProtection="1">
      <alignment vertical="center"/>
      <protection locked="0" hidden="1"/>
    </xf>
    <xf numFmtId="0" fontId="0" fillId="31" borderId="10" xfId="0" applyFill="1" applyBorder="1" applyAlignment="1" applyProtection="1">
      <alignment vertical="center"/>
      <protection locked="0" hidden="1"/>
    </xf>
    <xf numFmtId="0" fontId="0" fillId="31" borderId="31" xfId="0" applyFill="1" applyBorder="1" applyAlignment="1" applyProtection="1">
      <alignment vertical="center"/>
      <protection locked="0" hidden="1"/>
    </xf>
    <xf numFmtId="0" fontId="0" fillId="31" borderId="11" xfId="0" applyFill="1" applyBorder="1" applyAlignment="1" applyProtection="1">
      <alignment vertical="center"/>
      <protection locked="0" hidden="1"/>
    </xf>
    <xf numFmtId="0" fontId="0" fillId="31" borderId="14" xfId="0" applyFill="1" applyBorder="1" applyAlignment="1" applyProtection="1">
      <alignment vertical="center"/>
      <protection locked="0" hidden="1"/>
    </xf>
    <xf numFmtId="0" fontId="0" fillId="31" borderId="15" xfId="0" applyFill="1" applyBorder="1" applyAlignment="1" applyProtection="1">
      <alignment vertical="center"/>
      <protection locked="0" hidden="1"/>
    </xf>
    <xf numFmtId="0" fontId="30" fillId="30" borderId="0" xfId="0" applyFont="1" applyFill="1" applyProtection="1">
      <protection hidden="1"/>
    </xf>
    <xf numFmtId="0" fontId="2" fillId="30" borderId="0" xfId="0" applyFont="1" applyFill="1" applyAlignment="1" applyProtection="1">
      <alignment horizontal="left" vertical="center" wrapText="1"/>
      <protection hidden="1"/>
    </xf>
    <xf numFmtId="0" fontId="2" fillId="30" borderId="0" xfId="0" applyFont="1" applyFill="1" applyAlignment="1" applyProtection="1">
      <alignment horizontal="left"/>
      <protection hidden="1"/>
    </xf>
    <xf numFmtId="0" fontId="2" fillId="30" borderId="16" xfId="0" applyFont="1" applyFill="1" applyBorder="1" applyAlignment="1" applyProtection="1">
      <alignment horizontal="left"/>
      <protection hidden="1"/>
    </xf>
    <xf numFmtId="0" fontId="34" fillId="30" borderId="16" xfId="0" applyFont="1" applyFill="1" applyBorder="1" applyProtection="1">
      <protection hidden="1"/>
    </xf>
    <xf numFmtId="0" fontId="30" fillId="30" borderId="20" xfId="0" applyFont="1" applyFill="1" applyBorder="1" applyProtection="1">
      <protection hidden="1"/>
    </xf>
    <xf numFmtId="0" fontId="16" fillId="35" borderId="16" xfId="0" applyFont="1" applyFill="1" applyBorder="1" applyProtection="1">
      <protection locked="0" hidden="1"/>
    </xf>
    <xf numFmtId="0" fontId="16" fillId="35" borderId="0" xfId="0" applyFont="1" applyFill="1" applyProtection="1">
      <protection locked="0" hidden="1"/>
    </xf>
    <xf numFmtId="0" fontId="17" fillId="35" borderId="20" xfId="0" applyFont="1" applyFill="1" applyBorder="1" applyAlignment="1" applyProtection="1">
      <alignment horizontal="center"/>
      <protection locked="0" hidden="1"/>
    </xf>
    <xf numFmtId="44" fontId="4" fillId="32" borderId="30" xfId="32" applyFont="1" applyFill="1" applyBorder="1" applyAlignment="1" applyProtection="1">
      <alignment horizontal="left" vertical="center"/>
      <protection locked="0" hidden="1"/>
    </xf>
    <xf numFmtId="0" fontId="13" fillId="32" borderId="30" xfId="0" applyFont="1" applyFill="1" applyBorder="1" applyAlignment="1" applyProtection="1">
      <alignment horizontal="left" vertical="center"/>
      <protection locked="0" hidden="1"/>
    </xf>
    <xf numFmtId="0" fontId="4" fillId="32" borderId="30" xfId="0" applyFont="1" applyFill="1" applyBorder="1" applyAlignment="1" applyProtection="1">
      <alignment horizontal="left" vertical="center"/>
      <protection locked="0" hidden="1"/>
    </xf>
    <xf numFmtId="44" fontId="4" fillId="32" borderId="26" xfId="32" applyFont="1" applyFill="1" applyBorder="1" applyAlignment="1" applyProtection="1">
      <alignment horizontal="left" vertical="center"/>
      <protection locked="0" hidden="1"/>
    </xf>
    <xf numFmtId="0" fontId="13" fillId="32" borderId="26" xfId="0" applyFont="1" applyFill="1" applyBorder="1" applyAlignment="1" applyProtection="1">
      <alignment horizontal="left" vertical="center"/>
      <protection locked="0" hidden="1"/>
    </xf>
    <xf numFmtId="0" fontId="4" fillId="32" borderId="26" xfId="0" applyFont="1" applyFill="1" applyBorder="1" applyAlignment="1" applyProtection="1">
      <alignment horizontal="left" vertical="center"/>
      <protection locked="0" hidden="1"/>
    </xf>
    <xf numFmtId="44" fontId="4" fillId="32" borderId="21" xfId="32" applyFont="1" applyFill="1" applyBorder="1" applyAlignment="1" applyProtection="1">
      <alignment horizontal="left" vertical="center"/>
      <protection locked="0" hidden="1"/>
    </xf>
    <xf numFmtId="0" fontId="13" fillId="32" borderId="21" xfId="0" applyFont="1" applyFill="1" applyBorder="1" applyAlignment="1" applyProtection="1">
      <alignment horizontal="left" vertical="center"/>
      <protection locked="0" hidden="1"/>
    </xf>
    <xf numFmtId="0" fontId="4" fillId="32" borderId="21" xfId="0" applyFont="1" applyFill="1" applyBorder="1" applyAlignment="1" applyProtection="1">
      <alignment horizontal="left" vertical="center"/>
      <protection locked="0" hidden="1"/>
    </xf>
    <xf numFmtId="44" fontId="4" fillId="32" borderId="32" xfId="32" applyFont="1" applyFill="1" applyBorder="1" applyAlignment="1" applyProtection="1">
      <alignment horizontal="left" vertical="center"/>
      <protection locked="0" hidden="1"/>
    </xf>
    <xf numFmtId="0" fontId="13" fillId="32" borderId="32" xfId="0" applyFont="1" applyFill="1" applyBorder="1" applyAlignment="1" applyProtection="1">
      <alignment horizontal="left" vertical="center"/>
      <protection locked="0" hidden="1"/>
    </xf>
    <xf numFmtId="0" fontId="4" fillId="32" borderId="32" xfId="0" applyFont="1" applyFill="1" applyBorder="1" applyAlignment="1" applyProtection="1">
      <alignment horizontal="left" vertical="center"/>
      <protection locked="0" hidden="1"/>
    </xf>
    <xf numFmtId="0" fontId="13" fillId="32" borderId="9" xfId="0" applyFont="1" applyFill="1" applyBorder="1" applyAlignment="1" applyProtection="1">
      <alignment horizontal="center" vertical="center" wrapText="1"/>
      <protection locked="0" hidden="1"/>
    </xf>
    <xf numFmtId="0" fontId="13" fillId="32" borderId="10" xfId="0" applyFont="1" applyFill="1" applyBorder="1" applyAlignment="1" applyProtection="1">
      <alignment horizontal="center" vertical="center" wrapText="1"/>
      <protection locked="0" hidden="1"/>
    </xf>
    <xf numFmtId="0" fontId="13" fillId="32" borderId="11" xfId="0" applyFont="1" applyFill="1" applyBorder="1" applyAlignment="1" applyProtection="1">
      <alignment horizontal="center" vertical="center" wrapText="1"/>
      <protection locked="0" hidden="1"/>
    </xf>
    <xf numFmtId="0" fontId="13" fillId="32" borderId="15" xfId="0" applyFont="1" applyFill="1" applyBorder="1" applyAlignment="1" applyProtection="1">
      <alignment horizontal="center" vertical="center" wrapText="1"/>
      <protection locked="0" hidden="1"/>
    </xf>
    <xf numFmtId="2" fontId="0" fillId="31" borderId="9" xfId="0" applyNumberFormat="1" applyFill="1" applyBorder="1" applyAlignment="1" applyProtection="1">
      <alignment horizontal="right" vertical="center"/>
      <protection locked="0" hidden="1"/>
    </xf>
    <xf numFmtId="2" fontId="0" fillId="31" borderId="10" xfId="0" applyNumberFormat="1" applyFill="1" applyBorder="1" applyAlignment="1" applyProtection="1">
      <alignment horizontal="right" vertical="center"/>
      <protection locked="0" hidden="1"/>
    </xf>
    <xf numFmtId="2" fontId="0" fillId="31" borderId="11" xfId="0" applyNumberFormat="1" applyFill="1" applyBorder="1" applyAlignment="1" applyProtection="1">
      <alignment horizontal="right" vertical="center"/>
      <protection locked="0" hidden="1"/>
    </xf>
    <xf numFmtId="2" fontId="0" fillId="31" borderId="15" xfId="0" applyNumberFormat="1" applyFill="1" applyBorder="1" applyAlignment="1" applyProtection="1">
      <alignment horizontal="right" vertical="center"/>
      <protection locked="0" hidden="1"/>
    </xf>
    <xf numFmtId="0" fontId="1" fillId="0" borderId="0" xfId="0" applyFont="1"/>
    <xf numFmtId="0" fontId="10" fillId="25" borderId="16" xfId="0" applyFont="1" applyFill="1" applyBorder="1" applyAlignment="1">
      <alignment horizontal="center"/>
    </xf>
    <xf numFmtId="0" fontId="10" fillId="25" borderId="0" xfId="0" applyFont="1" applyFill="1" applyAlignment="1">
      <alignment horizontal="center"/>
    </xf>
    <xf numFmtId="0" fontId="0" fillId="25" borderId="20" xfId="0" applyFill="1" applyBorder="1" applyAlignment="1">
      <alignment horizontal="center"/>
    </xf>
    <xf numFmtId="0" fontId="3" fillId="30" borderId="0" xfId="0" applyFont="1" applyFill="1" applyProtection="1">
      <protection hidden="1"/>
    </xf>
    <xf numFmtId="0" fontId="0" fillId="34" borderId="16" xfId="0" applyFill="1" applyBorder="1" applyProtection="1">
      <protection hidden="1"/>
    </xf>
    <xf numFmtId="0" fontId="0" fillId="34" borderId="0" xfId="0" applyFill="1" applyProtection="1">
      <protection hidden="1"/>
    </xf>
    <xf numFmtId="0" fontId="0" fillId="34" borderId="20" xfId="0" applyFill="1" applyBorder="1" applyProtection="1">
      <protection hidden="1"/>
    </xf>
    <xf numFmtId="0" fontId="2" fillId="30" borderId="20" xfId="0" applyFont="1" applyFill="1" applyBorder="1" applyAlignment="1" applyProtection="1">
      <alignment horizontal="center"/>
      <protection hidden="1"/>
    </xf>
    <xf numFmtId="0" fontId="0" fillId="24" borderId="0" xfId="0" applyFill="1" applyAlignment="1" applyProtection="1">
      <alignment horizontal="left" vertical="center"/>
      <protection locked="0" hidden="1"/>
    </xf>
    <xf numFmtId="0" fontId="1" fillId="24" borderId="10" xfId="0" applyFont="1" applyFill="1" applyBorder="1"/>
    <xf numFmtId="0" fontId="15" fillId="24" borderId="0" xfId="34" applyFill="1" applyBorder="1" applyAlignment="1" applyProtection="1">
      <alignment horizontal="left" vertical="justify" wrapText="1" indent="2"/>
    </xf>
    <xf numFmtId="0" fontId="0" fillId="24" borderId="0" xfId="0" applyFill="1" applyAlignment="1">
      <alignment horizontal="center" vertical="justify" wrapText="1"/>
    </xf>
    <xf numFmtId="0" fontId="15" fillId="0" borderId="0" xfId="34" applyAlignment="1" applyProtection="1"/>
    <xf numFmtId="0" fontId="37" fillId="24" borderId="0" xfId="0" applyFont="1" applyFill="1" applyAlignment="1">
      <alignment horizontal="left" vertical="justify" wrapText="1"/>
    </xf>
    <xf numFmtId="0" fontId="37" fillId="24" borderId="0" xfId="0" applyFont="1" applyFill="1" applyAlignment="1">
      <alignment horizontal="left" vertical="top" wrapText="1"/>
    </xf>
    <xf numFmtId="0" fontId="0" fillId="24" borderId="0" xfId="0" applyFill="1" applyAlignment="1">
      <alignment horizontal="center" wrapText="1"/>
    </xf>
    <xf numFmtId="0" fontId="13" fillId="24" borderId="0" xfId="0" applyFont="1" applyFill="1" applyAlignment="1">
      <alignment horizontal="left" vertical="justify" wrapText="1"/>
    </xf>
    <xf numFmtId="0" fontId="1" fillId="24" borderId="0" xfId="0" applyFont="1" applyFill="1" applyAlignment="1">
      <alignment horizontal="left" vertical="justify" wrapText="1"/>
    </xf>
    <xf numFmtId="0" fontId="0" fillId="24" borderId="0" xfId="0" applyFill="1" applyAlignment="1">
      <alignment horizontal="left" vertical="justify" wrapText="1"/>
    </xf>
    <xf numFmtId="0" fontId="38" fillId="24" borderId="24" xfId="0" applyFont="1" applyFill="1" applyBorder="1" applyAlignment="1">
      <alignment horizontal="center"/>
    </xf>
    <xf numFmtId="0" fontId="38" fillId="24" borderId="0" xfId="0" applyFont="1" applyFill="1" applyAlignment="1">
      <alignment horizontal="center"/>
    </xf>
    <xf numFmtId="0" fontId="39" fillId="24" borderId="0" xfId="0" applyFont="1" applyFill="1" applyAlignment="1">
      <alignment horizontal="center"/>
    </xf>
    <xf numFmtId="0" fontId="4" fillId="32" borderId="10" xfId="0" applyFont="1" applyFill="1" applyBorder="1" applyAlignment="1" applyProtection="1">
      <alignment horizontal="left" vertical="center" wrapText="1"/>
      <protection locked="0" hidden="1"/>
    </xf>
    <xf numFmtId="0" fontId="21" fillId="32" borderId="10" xfId="0" applyFont="1" applyFill="1" applyBorder="1" applyAlignment="1" applyProtection="1">
      <alignment horizontal="left" vertical="center" wrapText="1"/>
      <protection locked="0" hidden="1"/>
    </xf>
    <xf numFmtId="0" fontId="0" fillId="31" borderId="9" xfId="0" applyFill="1" applyBorder="1" applyAlignment="1" applyProtection="1">
      <alignment horizontal="center" vertical="center"/>
      <protection locked="0" hidden="1"/>
    </xf>
    <xf numFmtId="0" fontId="2" fillId="30" borderId="10" xfId="0" applyFont="1" applyFill="1" applyBorder="1" applyAlignment="1" applyProtection="1">
      <alignment horizontal="center" vertical="center"/>
      <protection hidden="1"/>
    </xf>
    <xf numFmtId="0" fontId="2" fillId="30" borderId="10" xfId="0" applyFont="1" applyFill="1" applyBorder="1" applyAlignment="1" applyProtection="1">
      <alignment horizontal="center" vertical="center" wrapText="1"/>
      <protection hidden="1"/>
    </xf>
    <xf numFmtId="0" fontId="0" fillId="31" borderId="10" xfId="0" applyFill="1" applyBorder="1" applyAlignment="1" applyProtection="1">
      <alignment horizontal="center" vertical="center"/>
      <protection locked="0" hidden="1"/>
    </xf>
    <xf numFmtId="0" fontId="1" fillId="31" borderId="10" xfId="0" applyFont="1" applyFill="1" applyBorder="1" applyAlignment="1" applyProtection="1">
      <alignment horizontal="left"/>
      <protection locked="0" hidden="1"/>
    </xf>
    <xf numFmtId="0" fontId="0" fillId="31" borderId="10" xfId="0" applyFill="1" applyBorder="1" applyAlignment="1" applyProtection="1">
      <alignment horizontal="left"/>
      <protection locked="0" hidden="1"/>
    </xf>
    <xf numFmtId="0" fontId="11" fillId="32" borderId="30" xfId="0" applyFont="1" applyFill="1" applyBorder="1" applyAlignment="1" applyProtection="1">
      <alignment horizontal="center"/>
      <protection locked="0"/>
    </xf>
    <xf numFmtId="0" fontId="11" fillId="32" borderId="35" xfId="0" applyFont="1" applyFill="1" applyBorder="1" applyAlignment="1" applyProtection="1">
      <alignment horizontal="center"/>
      <protection locked="0"/>
    </xf>
    <xf numFmtId="0" fontId="2" fillId="30" borderId="0" xfId="0" applyFont="1" applyFill="1" applyAlignment="1" applyProtection="1">
      <alignment horizontal="left" vertical="center" wrapText="1"/>
      <protection hidden="1"/>
    </xf>
    <xf numFmtId="0" fontId="1" fillId="31" borderId="26" xfId="0" applyFont="1" applyFill="1" applyBorder="1" applyAlignment="1" applyProtection="1">
      <alignment horizontal="center"/>
      <protection locked="0" hidden="1"/>
    </xf>
    <xf numFmtId="0" fontId="0" fillId="31" borderId="27" xfId="0" applyFill="1" applyBorder="1" applyAlignment="1" applyProtection="1">
      <alignment horizontal="center"/>
      <protection locked="0" hidden="1"/>
    </xf>
    <xf numFmtId="0" fontId="0" fillId="31" borderId="28" xfId="0" applyFill="1" applyBorder="1" applyAlignment="1" applyProtection="1">
      <alignment horizontal="center"/>
      <protection locked="0" hidden="1"/>
    </xf>
    <xf numFmtId="0" fontId="0" fillId="32" borderId="10" xfId="0" applyFill="1" applyBorder="1" applyAlignment="1" applyProtection="1">
      <alignment horizontal="left" vertical="center" wrapText="1"/>
      <protection locked="0" hidden="1"/>
    </xf>
    <xf numFmtId="0" fontId="0" fillId="31" borderId="15" xfId="0" applyFill="1" applyBorder="1" applyAlignment="1" applyProtection="1">
      <alignment horizontal="center" vertical="center"/>
      <protection locked="0" hidden="1"/>
    </xf>
    <xf numFmtId="0" fontId="0" fillId="32" borderId="9" xfId="0" applyFill="1" applyBorder="1" applyAlignment="1" applyProtection="1">
      <alignment horizontal="left" vertical="center" wrapText="1"/>
      <protection locked="0" hidden="1"/>
    </xf>
    <xf numFmtId="0" fontId="0" fillId="32" borderId="15" xfId="0" applyFill="1" applyBorder="1" applyAlignment="1" applyProtection="1">
      <alignment horizontal="left" vertical="center" wrapText="1"/>
      <protection locked="0" hidden="1"/>
    </xf>
    <xf numFmtId="0" fontId="0" fillId="32" borderId="11" xfId="0" applyFill="1" applyBorder="1" applyAlignment="1" applyProtection="1">
      <alignment horizontal="left" vertical="center" wrapText="1"/>
      <protection locked="0" hidden="1"/>
    </xf>
    <xf numFmtId="0" fontId="1" fillId="31" borderId="26" xfId="0" applyFont="1" applyFill="1" applyBorder="1" applyAlignment="1" applyProtection="1">
      <alignment horizontal="left"/>
      <protection locked="0" hidden="1"/>
    </xf>
    <xf numFmtId="0" fontId="0" fillId="31" borderId="27" xfId="0" applyFill="1" applyBorder="1" applyAlignment="1" applyProtection="1">
      <alignment horizontal="left"/>
      <protection locked="0" hidden="1"/>
    </xf>
    <xf numFmtId="0" fontId="0" fillId="31" borderId="28" xfId="0" applyFill="1" applyBorder="1" applyAlignment="1" applyProtection="1">
      <alignment horizontal="left"/>
      <protection locked="0" hidden="1"/>
    </xf>
    <xf numFmtId="0" fontId="2" fillId="30" borderId="0" xfId="0" applyFont="1" applyFill="1" applyAlignment="1" applyProtection="1">
      <alignment horizontal="left"/>
      <protection hidden="1"/>
    </xf>
    <xf numFmtId="0" fontId="18" fillId="30" borderId="33" xfId="0" applyFont="1" applyFill="1" applyBorder="1" applyAlignment="1">
      <alignment horizontal="left"/>
    </xf>
    <xf numFmtId="0" fontId="18" fillId="30" borderId="28" xfId="0" applyFont="1" applyFill="1" applyBorder="1" applyAlignment="1">
      <alignment horizontal="left"/>
    </xf>
    <xf numFmtId="0" fontId="34" fillId="30" borderId="16" xfId="0" applyFont="1" applyFill="1" applyBorder="1" applyAlignment="1" applyProtection="1">
      <alignment horizontal="left"/>
      <protection hidden="1"/>
    </xf>
    <xf numFmtId="0" fontId="34" fillId="30" borderId="0" xfId="0" applyFont="1" applyFill="1" applyAlignment="1" applyProtection="1">
      <alignment horizontal="left"/>
      <protection hidden="1"/>
    </xf>
    <xf numFmtId="0" fontId="2" fillId="30" borderId="31" xfId="0" applyFont="1" applyFill="1" applyBorder="1" applyAlignment="1" applyProtection="1">
      <alignment horizontal="center" vertical="center"/>
      <protection hidden="1"/>
    </xf>
    <xf numFmtId="0" fontId="2" fillId="30" borderId="29" xfId="0" applyFont="1" applyFill="1" applyBorder="1" applyAlignment="1" applyProtection="1">
      <alignment horizontal="center" vertical="center"/>
      <protection hidden="1"/>
    </xf>
    <xf numFmtId="0" fontId="0" fillId="31" borderId="21" xfId="0" applyFill="1" applyBorder="1" applyAlignment="1" applyProtection="1">
      <alignment horizontal="left" vertical="center"/>
      <protection locked="0" hidden="1"/>
    </xf>
    <xf numFmtId="0" fontId="0" fillId="31" borderId="37" xfId="0" applyFill="1" applyBorder="1" applyAlignment="1" applyProtection="1">
      <alignment horizontal="left" vertical="center"/>
      <protection locked="0" hidden="1"/>
    </xf>
    <xf numFmtId="0" fontId="0" fillId="31" borderId="30" xfId="0" applyFill="1" applyBorder="1" applyAlignment="1" applyProtection="1">
      <alignment horizontal="left" vertical="center"/>
      <protection locked="0" hidden="1"/>
    </xf>
    <xf numFmtId="0" fontId="0" fillId="31" borderId="35" xfId="0" applyFill="1" applyBorder="1" applyAlignment="1" applyProtection="1">
      <alignment horizontal="left" vertical="center"/>
      <protection locked="0" hidden="1"/>
    </xf>
    <xf numFmtId="0" fontId="0" fillId="32" borderId="26" xfId="0" applyFill="1" applyBorder="1" applyAlignment="1" applyProtection="1">
      <alignment horizontal="left" vertical="center"/>
      <protection locked="0" hidden="1"/>
    </xf>
    <xf numFmtId="0" fontId="0" fillId="32" borderId="27" xfId="0" applyFill="1" applyBorder="1" applyAlignment="1" applyProtection="1">
      <alignment horizontal="left" vertical="center"/>
      <protection locked="0" hidden="1"/>
    </xf>
    <xf numFmtId="0" fontId="0" fillId="32" borderId="28" xfId="0" applyFill="1" applyBorder="1" applyAlignment="1" applyProtection="1">
      <alignment horizontal="left" vertical="center"/>
      <protection locked="0" hidden="1"/>
    </xf>
    <xf numFmtId="0" fontId="1" fillId="31" borderId="21" xfId="0" applyFont="1" applyFill="1" applyBorder="1" applyAlignment="1" applyProtection="1">
      <alignment horizontal="left" vertical="top" wrapText="1"/>
      <protection locked="0" hidden="1"/>
    </xf>
    <xf numFmtId="0" fontId="0" fillId="31" borderId="22" xfId="0" applyFill="1" applyBorder="1" applyAlignment="1" applyProtection="1">
      <alignment horizontal="left" vertical="top" wrapText="1"/>
      <protection locked="0" hidden="1"/>
    </xf>
    <xf numFmtId="0" fontId="0" fillId="31" borderId="37" xfId="0" applyFill="1" applyBorder="1" applyAlignment="1" applyProtection="1">
      <alignment horizontal="left" vertical="top" wrapText="1"/>
      <protection locked="0" hidden="1"/>
    </xf>
    <xf numFmtId="0" fontId="0" fillId="31" borderId="30" xfId="0" applyFill="1" applyBorder="1" applyAlignment="1" applyProtection="1">
      <alignment horizontal="left" vertical="top" wrapText="1"/>
      <protection locked="0" hidden="1"/>
    </xf>
    <xf numFmtId="0" fontId="0" fillId="31" borderId="36" xfId="0" applyFill="1" applyBorder="1" applyAlignment="1" applyProtection="1">
      <alignment horizontal="left" vertical="top" wrapText="1"/>
      <protection locked="0" hidden="1"/>
    </xf>
    <xf numFmtId="0" fontId="0" fillId="31" borderId="35" xfId="0" applyFill="1" applyBorder="1" applyAlignment="1" applyProtection="1">
      <alignment horizontal="left" vertical="top" wrapText="1"/>
      <protection locked="0" hidden="1"/>
    </xf>
    <xf numFmtId="0" fontId="13" fillId="32" borderId="26" xfId="0" applyFont="1" applyFill="1" applyBorder="1" applyAlignment="1" applyProtection="1">
      <alignment horizontal="left" vertical="center"/>
      <protection locked="0"/>
    </xf>
    <xf numFmtId="0" fontId="13" fillId="32" borderId="28" xfId="0" applyFont="1" applyFill="1" applyBorder="1" applyAlignment="1" applyProtection="1">
      <alignment horizontal="left" vertical="center"/>
      <protection locked="0"/>
    </xf>
    <xf numFmtId="0" fontId="2" fillId="28" borderId="10" xfId="0" applyFont="1" applyFill="1" applyBorder="1" applyAlignment="1" applyProtection="1">
      <alignment horizontal="center" vertical="center" wrapText="1"/>
      <protection locked="0" hidden="1"/>
    </xf>
    <xf numFmtId="0" fontId="13" fillId="32" borderId="26" xfId="0" applyFont="1" applyFill="1" applyBorder="1" applyAlignment="1" applyProtection="1">
      <alignment horizontal="left" vertical="center"/>
      <protection locked="0" hidden="1"/>
    </xf>
    <xf numFmtId="0" fontId="13" fillId="32" borderId="28" xfId="0" applyFont="1" applyFill="1" applyBorder="1" applyAlignment="1" applyProtection="1">
      <alignment horizontal="left" vertical="center"/>
      <protection locked="0" hidden="1"/>
    </xf>
  </cellXfs>
  <cellStyles count="46">
    <cellStyle name="20% - Cor1" xfId="1" xr:uid="{00000000-0005-0000-0000-000000000000}"/>
    <cellStyle name="20% - Cor2" xfId="2" xr:uid="{00000000-0005-0000-0000-000001000000}"/>
    <cellStyle name="20% - Cor3" xfId="3" xr:uid="{00000000-0005-0000-0000-000002000000}"/>
    <cellStyle name="20% - Cor4" xfId="4" xr:uid="{00000000-0005-0000-0000-000003000000}"/>
    <cellStyle name="20% - Cor5" xfId="5" xr:uid="{00000000-0005-0000-0000-000004000000}"/>
    <cellStyle name="20% - Cor6" xfId="6" xr:uid="{00000000-0005-0000-0000-000005000000}"/>
    <cellStyle name="40% - Cor1" xfId="7" xr:uid="{00000000-0005-0000-0000-000006000000}"/>
    <cellStyle name="40% - Cor2" xfId="8" xr:uid="{00000000-0005-0000-0000-000007000000}"/>
    <cellStyle name="40% - Cor3" xfId="9" xr:uid="{00000000-0005-0000-0000-000008000000}"/>
    <cellStyle name="40% - Cor4" xfId="10" xr:uid="{00000000-0005-0000-0000-000009000000}"/>
    <cellStyle name="40% - Cor5" xfId="11" xr:uid="{00000000-0005-0000-0000-00000A000000}"/>
    <cellStyle name="40% - Cor6" xfId="12" xr:uid="{00000000-0005-0000-0000-00000B000000}"/>
    <cellStyle name="60% - Cor1" xfId="13" xr:uid="{00000000-0005-0000-0000-00000C000000}"/>
    <cellStyle name="60% - Cor2" xfId="14" xr:uid="{00000000-0005-0000-0000-00000D000000}"/>
    <cellStyle name="60% - Cor3" xfId="15" xr:uid="{00000000-0005-0000-0000-00000E000000}"/>
    <cellStyle name="60% - Cor4" xfId="16" xr:uid="{00000000-0005-0000-0000-00000F000000}"/>
    <cellStyle name="60% - Cor5" xfId="17" xr:uid="{00000000-0005-0000-0000-000010000000}"/>
    <cellStyle name="60% - Cor6" xfId="18" xr:uid="{00000000-0005-0000-0000-000011000000}"/>
    <cellStyle name="Cabeçalho 1" xfId="19" xr:uid="{00000000-0005-0000-0000-000012000000}"/>
    <cellStyle name="Cabeçalho 2" xfId="20" xr:uid="{00000000-0005-0000-0000-000013000000}"/>
    <cellStyle name="Cabeçalho 3" xfId="21" xr:uid="{00000000-0005-0000-0000-000014000000}"/>
    <cellStyle name="Cabeçalho 4" xfId="22" xr:uid="{00000000-0005-0000-0000-000015000000}"/>
    <cellStyle name="Cálculo" xfId="23" xr:uid="{00000000-0005-0000-0000-000016000000}"/>
    <cellStyle name="Célula Ligada" xfId="24" xr:uid="{00000000-0005-0000-0000-000017000000}"/>
    <cellStyle name="Cor1" xfId="25" xr:uid="{00000000-0005-0000-0000-000018000000}"/>
    <cellStyle name="Cor2" xfId="26" xr:uid="{00000000-0005-0000-0000-000019000000}"/>
    <cellStyle name="Cor3" xfId="27" xr:uid="{00000000-0005-0000-0000-00001A000000}"/>
    <cellStyle name="Cor4" xfId="28" xr:uid="{00000000-0005-0000-0000-00001B000000}"/>
    <cellStyle name="Cor5" xfId="29" xr:uid="{00000000-0005-0000-0000-00001C000000}"/>
    <cellStyle name="Cor6" xfId="30" xr:uid="{00000000-0005-0000-0000-00001D000000}"/>
    <cellStyle name="Correcto" xfId="31" xr:uid="{00000000-0005-0000-0000-00001E000000}"/>
    <cellStyle name="Currency" xfId="32" builtinId="4"/>
    <cellStyle name="Entrada" xfId="33" xr:uid="{00000000-0005-0000-0000-000020000000}"/>
    <cellStyle name="Hyperlink" xfId="34" builtinId="8"/>
    <cellStyle name="Incorrecto" xfId="35" xr:uid="{00000000-0005-0000-0000-000022000000}"/>
    <cellStyle name="Neutro" xfId="36" xr:uid="{00000000-0005-0000-0000-000023000000}"/>
    <cellStyle name="Normal" xfId="0" builtinId="0"/>
    <cellStyle name="Normal_EFFT" xfId="37" xr:uid="{00000000-0005-0000-0000-000025000000}"/>
    <cellStyle name="Normal_Sheet1" xfId="38" xr:uid="{00000000-0005-0000-0000-000026000000}"/>
    <cellStyle name="Normal_Sheet2" xfId="39" xr:uid="{00000000-0005-0000-0000-000027000000}"/>
    <cellStyle name="Nota" xfId="40" xr:uid="{00000000-0005-0000-0000-000028000000}"/>
    <cellStyle name="Saída" xfId="41" xr:uid="{00000000-0005-0000-0000-000029000000}"/>
    <cellStyle name="Texto de Aviso" xfId="42" xr:uid="{00000000-0005-0000-0000-00002A000000}"/>
    <cellStyle name="Texto Explicativo" xfId="43" xr:uid="{00000000-0005-0000-0000-00002B000000}"/>
    <cellStyle name="Título" xfId="44" xr:uid="{00000000-0005-0000-0000-00002C000000}"/>
    <cellStyle name="Verificar Célula" xfId="45" xr:uid="{00000000-0005-0000-0000-00002D000000}"/>
  </cellStyles>
  <dxfs count="11">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fill>
        <patternFill patternType="solid">
          <fgColor indexed="64"/>
          <bgColor indexed="9"/>
        </patternFill>
      </fill>
    </dxf>
    <dxf>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fill>
        <patternFill patternType="solid">
          <fgColor indexed="64"/>
          <bgColor indexed="9"/>
        </patternFill>
      </fill>
    </dxf>
    <dxf>
      <fill>
        <patternFill patternType="solid">
          <fgColor indexed="64"/>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fmlaLink="$A$5" noThreeD="1"/>
</file>

<file path=xl/ctrlProps/ctrlProp2.xml><?xml version="1.0" encoding="utf-8"?>
<formControlPr xmlns="http://schemas.microsoft.com/office/spreadsheetml/2009/9/main" objectType="CheckBox" fmlaLink="$D$5"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3175</xdr:colOff>
      <xdr:row>32</xdr:row>
      <xdr:rowOff>4762</xdr:rowOff>
    </xdr:from>
    <xdr:to>
      <xdr:col>9</xdr:col>
      <xdr:colOff>3175</xdr:colOff>
      <xdr:row>32</xdr:row>
      <xdr:rowOff>4762</xdr:rowOff>
    </xdr:to>
    <xdr:sp macro="" textlink="">
      <xdr:nvSpPr>
        <xdr:cNvPr id="1027" name="Text Box 10">
          <a:extLst>
            <a:ext uri="{FF2B5EF4-FFF2-40B4-BE49-F238E27FC236}">
              <a16:creationId xmlns:a16="http://schemas.microsoft.com/office/drawing/2014/main" id="{00000000-0008-0000-0300-000003040000}"/>
            </a:ext>
          </a:extLst>
        </xdr:cNvPr>
        <xdr:cNvSpPr txBox="1">
          <a:spLocks noChangeArrowheads="1"/>
        </xdr:cNvSpPr>
      </xdr:nvSpPr>
      <xdr:spPr bwMode="auto">
        <a:xfrm>
          <a:off x="9496425" y="5372100"/>
          <a:ext cx="4181475" cy="0"/>
        </a:xfrm>
        <a:prstGeom prst="rect">
          <a:avLst/>
        </a:prstGeom>
        <a:solidFill>
          <a:srgbClr val="FFFFFF"/>
        </a:solidFill>
        <a:ln w="9525" algn="ctr">
          <a:noFill/>
          <a:miter lim="800000"/>
          <a:headEnd/>
          <a:tailEnd/>
        </a:ln>
      </xdr:spPr>
      <xdr:txBody>
        <a:bodyPr vertOverflow="clip" wrap="square" lIns="36576" tIns="27432" rIns="36576" bIns="0" anchor="t" upright="1"/>
        <a:lstStyle/>
        <a:p>
          <a:pPr algn="ctr" rtl="1">
            <a:defRPr sz="1000"/>
          </a:pPr>
          <a:r>
            <a:rPr lang="en-US" sz="1000" b="1" i="0" strike="noStrike">
              <a:solidFill>
                <a:srgbClr val="000000"/>
              </a:solidFill>
              <a:latin typeface="Arial"/>
              <a:cs typeface="Arial"/>
            </a:rPr>
            <a:t>Tuna Statistics in the Indian Ocean</a:t>
          </a:r>
        </a:p>
        <a:p>
          <a:pPr algn="ctr" rtl="1">
            <a:defRPr sz="1000"/>
          </a:pPr>
          <a:r>
            <a:rPr lang="en-US" sz="1000" b="1" i="0" strike="noStrike">
              <a:solidFill>
                <a:srgbClr val="000000"/>
              </a:solidFill>
              <a:latin typeface="Arial"/>
              <a:cs typeface="Arial"/>
            </a:rPr>
            <a:t>IOTC FORM 3: CATCH AND EFFORT</a:t>
          </a:r>
        </a:p>
        <a:p>
          <a:pPr algn="ctr" rtl="1">
            <a:defRPr sz="1000"/>
          </a:pPr>
          <a:r>
            <a:rPr lang="en-US" sz="1000" b="1" i="0" strike="noStrike">
              <a:solidFill>
                <a:srgbClr val="000000"/>
              </a:solidFill>
              <a:latin typeface="Arial"/>
              <a:cs typeface="Arial"/>
            </a:rPr>
            <a:t>IOTC STANDARD</a:t>
          </a: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3</xdr:row>
          <xdr:rowOff>161925</xdr:rowOff>
        </xdr:from>
        <xdr:to>
          <xdr:col>1</xdr:col>
          <xdr:colOff>1295400</xdr:colOff>
          <xdr:row>4</xdr:row>
          <xdr:rowOff>200025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xdr:row>
          <xdr:rowOff>161925</xdr:rowOff>
        </xdr:from>
        <xdr:to>
          <xdr:col>1</xdr:col>
          <xdr:colOff>1295400</xdr:colOff>
          <xdr:row>4</xdr:row>
          <xdr:rowOff>200025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3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xdr:twoCellAnchor editAs="oneCell">
    <xdr:from>
      <xdr:col>0</xdr:col>
      <xdr:colOff>66675</xdr:colOff>
      <xdr:row>0</xdr:row>
      <xdr:rowOff>76200</xdr:rowOff>
    </xdr:from>
    <xdr:to>
      <xdr:col>3</xdr:col>
      <xdr:colOff>1111190</xdr:colOff>
      <xdr:row>2</xdr:row>
      <xdr:rowOff>313367</xdr:rowOff>
    </xdr:to>
    <xdr:pic>
      <xdr:nvPicPr>
        <xdr:cNvPr id="8" name="Picture 7" descr="Description: Description: C:\Documents and Settings\Julien.IOTC\Desktop\IOTCLogoCMYKLetterHead2.png">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45799" r="28398" b="44173"/>
        <a:stretch>
          <a:fillRect/>
        </a:stretch>
      </xdr:blipFill>
      <xdr:spPr bwMode="auto">
        <a:xfrm>
          <a:off x="66675" y="76200"/>
          <a:ext cx="4930715" cy="618167"/>
        </a:xfrm>
        <a:prstGeom prst="rect">
          <a:avLst/>
        </a:prstGeom>
        <a:solidFill>
          <a:schemeClr val="bg1"/>
        </a:solidFill>
        <a:ln>
          <a:noFill/>
        </a:ln>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212A78FD-3EA5-4A71-B65A-CEAEDA0502C9}" autoFormatId="16" applyNumberFormats="0" applyBorderFormats="0" applyFontFormats="0" applyPatternFormats="0" applyAlignmentFormats="0" applyWidthHeightFormats="0">
  <queryTableRefresh nextId="5">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5422DDAE-8C58-432E-9723-7C48C37E7B4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911122-1B5C-45A6-9246-88AFA4F00E4E}" name="V_REP_SPECIES" displayName="V_REP_SPECIES" ref="A1:D255" tableType="queryTable" totalsRowShown="0" headerRowDxfId="10" dataDxfId="9">
  <autoFilter ref="A1:D255" xr:uid="{94473322-2F87-495A-8D8E-97BB52AC4E1A}"/>
  <tableColumns count="4">
    <tableColumn id="1" xr3:uid="{D76F66E9-B6BD-42EB-B57D-6B7DACD035E0}" uniqueName="1" name="CODE" queryTableFieldId="1" dataDxfId="8"/>
    <tableColumn id="2" xr3:uid="{29760767-903A-45D6-9C5D-98F5B1531B22}" uniqueName="2" name="NAME_EN" queryTableFieldId="2" dataDxfId="7"/>
    <tableColumn id="3" xr3:uid="{1CFDB7B0-FAD3-4A91-A3E4-840D39F00EF1}" uniqueName="3" name="NAME_FR" queryTableFieldId="3" dataDxfId="6"/>
    <tableColumn id="4" xr3:uid="{B97E184F-D7FA-4265-A189-A8B498C31AB1}" uniqueName="4" name="SCIENTIFIC_NAME" queryTableFieldId="4" data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C08B19-D00A-4F0C-99B9-28A68C730BC5}" name="V_REP_FLAGS" displayName="V_REP_FLAGS" ref="A1:C77" tableType="queryTable" totalsRowShown="0" headerRowDxfId="4" dataDxfId="3">
  <autoFilter ref="A1:C77" xr:uid="{B38DA552-548E-47B6-933C-AC1D17C7511C}"/>
  <sortState xmlns:xlrd2="http://schemas.microsoft.com/office/spreadsheetml/2017/richdata2" ref="A2:C77">
    <sortCondition ref="A1"/>
  </sortState>
  <tableColumns count="3">
    <tableColumn id="1" xr3:uid="{18B93609-9446-4A81-9C73-40418E17ECDA}" uniqueName="1" name="CODE" queryTableFieldId="1" dataDxfId="2"/>
    <tableColumn id="2" xr3:uid="{4C37A270-304A-4EE7-BBE9-DF9DEA634F58}" uniqueName="2" name="NAME_EN" queryTableFieldId="2" dataDxfId="1"/>
    <tableColumn id="3" xr3:uid="{6733020D-13B7-4D69-8891-DD70077B2DBF}" uniqueName="3" name="NAME_FR"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www.iotc.org/sites/default/files/documents/data/Directives%20pour%20la%20declaration%20des%20donnees%20a%20la%20CTOI.pdf" TargetMode="External"/><Relationship Id="rId2" Type="http://schemas.openxmlformats.org/officeDocument/2006/relationships/hyperlink" Target="http://www.iotc.org/sites/default/files/documents/data/Notes%20pour%20la%20saisie%20des%20formulaires%20CTOI%5BF%5D.pdf" TargetMode="External"/><Relationship Id="rId1" Type="http://schemas.openxmlformats.org/officeDocument/2006/relationships/hyperlink" Target="http://www.iotc.org/sites/default/files/documents/data/Guidelines%20Data%20Reporting%20IOTC.pdf" TargetMode="External"/><Relationship Id="rId5" Type="http://schemas.openxmlformats.org/officeDocument/2006/relationships/printerSettings" Target="../printerSettings/printerSettings1.bin"/><Relationship Id="rId4" Type="http://schemas.openxmlformats.org/officeDocument/2006/relationships/hyperlink" Target="http://www.iotc.org/sites/default/files/documents/data/Notes%20for%20the%20completion%20of%20IOTC%20Forms%5BE%5D.pd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rgb="FFFF0000"/>
  </sheetPr>
  <dimension ref="A1:I12"/>
  <sheetViews>
    <sheetView workbookViewId="0">
      <selection activeCell="C8" sqref="C8"/>
    </sheetView>
  </sheetViews>
  <sheetFormatPr defaultColWidth="9.140625" defaultRowHeight="12.75" x14ac:dyDescent="0.2"/>
  <cols>
    <col min="1" max="1" width="19.85546875" style="1" bestFit="1" customWidth="1"/>
    <col min="2" max="2" width="9.140625" style="1"/>
    <col min="3" max="3" width="5.85546875" style="1" bestFit="1" customWidth="1"/>
    <col min="4" max="4" width="18.42578125" style="1" bestFit="1" customWidth="1"/>
    <col min="5" max="5" width="23.5703125" style="1" bestFit="1" customWidth="1"/>
    <col min="6" max="16384" width="9.140625" style="1"/>
  </cols>
  <sheetData>
    <row r="1" spans="1:9" x14ac:dyDescent="0.2">
      <c r="A1" s="28" t="s">
        <v>272</v>
      </c>
      <c r="B1" s="27"/>
      <c r="C1" s="27"/>
      <c r="D1" s="27"/>
      <c r="E1" s="3"/>
      <c r="H1" s="8"/>
      <c r="I1" s="51" t="s">
        <v>1002</v>
      </c>
    </row>
    <row r="2" spans="1:9" ht="15.75" x14ac:dyDescent="0.25">
      <c r="A2" s="28" t="s">
        <v>273</v>
      </c>
      <c r="B2" s="3"/>
      <c r="C2" s="3" t="s">
        <v>995</v>
      </c>
      <c r="D2" s="3" t="s">
        <v>937</v>
      </c>
      <c r="E2" s="31" t="s">
        <v>2104</v>
      </c>
      <c r="I2" s="51" t="s">
        <v>1001</v>
      </c>
    </row>
    <row r="3" spans="1:9" x14ac:dyDescent="0.2">
      <c r="A3" s="28" t="s">
        <v>843</v>
      </c>
      <c r="B3" s="3"/>
      <c r="C3" s="3" t="s">
        <v>929</v>
      </c>
      <c r="D3" s="3" t="s">
        <v>930</v>
      </c>
      <c r="E3" s="3" t="s">
        <v>931</v>
      </c>
    </row>
    <row r="4" spans="1:9" x14ac:dyDescent="0.2">
      <c r="A4" s="28"/>
      <c r="B4" s="3"/>
      <c r="C4" s="3" t="s">
        <v>933</v>
      </c>
      <c r="D4" s="3" t="s">
        <v>928</v>
      </c>
      <c r="E4" s="3" t="s">
        <v>932</v>
      </c>
    </row>
    <row r="5" spans="1:9" x14ac:dyDescent="0.2">
      <c r="A5" s="28"/>
      <c r="B5" s="3"/>
      <c r="C5" s="3" t="s">
        <v>989</v>
      </c>
      <c r="D5" s="3" t="s">
        <v>935</v>
      </c>
      <c r="E5" s="3" t="s">
        <v>280</v>
      </c>
    </row>
    <row r="6" spans="1:9" x14ac:dyDescent="0.2">
      <c r="A6" s="28"/>
      <c r="B6" s="3"/>
      <c r="C6" s="3" t="s">
        <v>906</v>
      </c>
      <c r="D6" s="3" t="s">
        <v>845</v>
      </c>
      <c r="E6" s="3" t="s">
        <v>913</v>
      </c>
    </row>
    <row r="7" spans="1:9" x14ac:dyDescent="0.2">
      <c r="A7" s="28"/>
      <c r="B7" s="3"/>
      <c r="C7" s="3" t="s">
        <v>990</v>
      </c>
      <c r="D7" s="3" t="s">
        <v>957</v>
      </c>
      <c r="E7" s="3" t="s">
        <v>275</v>
      </c>
    </row>
    <row r="8" spans="1:9" x14ac:dyDescent="0.2">
      <c r="A8" s="28"/>
      <c r="B8" s="3"/>
      <c r="C8" s="155" t="s">
        <v>908</v>
      </c>
      <c r="D8" s="3" t="s">
        <v>846</v>
      </c>
      <c r="E8" s="3" t="s">
        <v>281</v>
      </c>
    </row>
    <row r="9" spans="1:9" ht="13.5" thickBot="1" x14ac:dyDescent="0.25">
      <c r="A9" s="29"/>
      <c r="B9" s="3"/>
      <c r="C9" s="3" t="s">
        <v>991</v>
      </c>
      <c r="D9" s="3" t="s">
        <v>992</v>
      </c>
      <c r="E9" s="3" t="s">
        <v>847</v>
      </c>
    </row>
    <row r="10" spans="1:9" ht="13.5" thickBot="1" x14ac:dyDescent="0.25">
      <c r="B10" s="30"/>
      <c r="C10" s="30" t="s">
        <v>993</v>
      </c>
      <c r="D10" s="30" t="s">
        <v>994</v>
      </c>
      <c r="E10" s="3" t="s">
        <v>283</v>
      </c>
    </row>
    <row r="11" spans="1:9" x14ac:dyDescent="0.2">
      <c r="C11" s="1" t="s">
        <v>927</v>
      </c>
      <c r="D11" s="1" t="s">
        <v>922</v>
      </c>
      <c r="E11" t="s">
        <v>923</v>
      </c>
    </row>
    <row r="12" spans="1:9" x14ac:dyDescent="0.2">
      <c r="C12" s="1" t="s">
        <v>996</v>
      </c>
      <c r="D12" t="s">
        <v>940</v>
      </c>
      <c r="E12" t="s">
        <v>941</v>
      </c>
    </row>
  </sheetData>
  <sheetProtection algorithmName="SHA-512" hashValue="gkjPEiPq8LPxrYwMUcH+o6N52BjBooXNUzT0p2EhtsE/TuywJhYhwjlbme9BWnpD+lt3WQHoexOfcr6Hh3ThWA==" saltValue="s5OnE71lAzkZ5rMCAL+LHA==" spinCount="100000" sheet="1" objects="1" scenarios="1"/>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indexed="10"/>
  </sheetPr>
  <dimension ref="A2:P40"/>
  <sheetViews>
    <sheetView workbookViewId="0">
      <selection activeCell="B15" sqref="B15"/>
    </sheetView>
  </sheetViews>
  <sheetFormatPr defaultColWidth="9.140625" defaultRowHeight="12.75" x14ac:dyDescent="0.2"/>
  <cols>
    <col min="1" max="1" width="3.5703125" style="1" customWidth="1"/>
    <col min="2" max="2" width="11.5703125" style="1" bestFit="1" customWidth="1"/>
    <col min="3" max="3" width="80.7109375" style="1" bestFit="1" customWidth="1"/>
    <col min="4" max="5" width="3.5703125" style="1" customWidth="1"/>
    <col min="6" max="6" width="9.7109375" style="1" customWidth="1"/>
    <col min="7" max="7" width="81.5703125" style="1" customWidth="1"/>
    <col min="8" max="16384" width="9.140625" style="1"/>
  </cols>
  <sheetData>
    <row r="2" spans="1:7" ht="12.75" customHeight="1" x14ac:dyDescent="0.2">
      <c r="B2" s="161"/>
      <c r="C2" s="162" t="s">
        <v>1026</v>
      </c>
      <c r="D2" s="81"/>
      <c r="E2" s="81"/>
      <c r="F2" s="161"/>
      <c r="G2" s="163" t="s">
        <v>1027</v>
      </c>
    </row>
    <row r="3" spans="1:7" ht="12.75" customHeight="1" x14ac:dyDescent="0.2">
      <c r="A3" s="82"/>
      <c r="B3" s="161"/>
      <c r="C3" s="162"/>
      <c r="D3" s="81"/>
      <c r="E3" s="81"/>
      <c r="F3" s="161"/>
      <c r="G3" s="163"/>
    </row>
    <row r="4" spans="1:7" ht="12.75" customHeight="1" x14ac:dyDescent="0.2">
      <c r="A4" s="82"/>
      <c r="B4" s="161"/>
      <c r="C4" s="162"/>
      <c r="D4" s="81"/>
      <c r="E4" s="81"/>
      <c r="F4" s="161"/>
      <c r="G4" s="163"/>
    </row>
    <row r="5" spans="1:7" ht="18.75" customHeight="1" x14ac:dyDescent="0.2">
      <c r="A5" s="6"/>
    </row>
    <row r="6" spans="1:7" x14ac:dyDescent="0.2">
      <c r="B6" s="3" t="s">
        <v>916</v>
      </c>
      <c r="C6" s="78" t="s">
        <v>917</v>
      </c>
      <c r="D6" s="76"/>
      <c r="E6" s="76"/>
      <c r="F6" s="3" t="s">
        <v>916</v>
      </c>
      <c r="G6" s="78" t="s">
        <v>918</v>
      </c>
    </row>
    <row r="7" spans="1:7" x14ac:dyDescent="0.2">
      <c r="B7" s="7" t="s">
        <v>942</v>
      </c>
      <c r="C7" s="78" t="s">
        <v>997</v>
      </c>
      <c r="D7" s="76"/>
      <c r="E7" s="76"/>
      <c r="F7" s="7" t="s">
        <v>942</v>
      </c>
      <c r="G7" s="79" t="s">
        <v>1004</v>
      </c>
    </row>
    <row r="8" spans="1:7" ht="15.75" x14ac:dyDescent="0.25">
      <c r="B8" s="7" t="s">
        <v>995</v>
      </c>
      <c r="C8" s="79" t="s">
        <v>1015</v>
      </c>
      <c r="D8" s="77"/>
      <c r="E8" s="77"/>
      <c r="F8" s="7" t="s">
        <v>995</v>
      </c>
      <c r="G8" s="80" t="s">
        <v>1005</v>
      </c>
    </row>
    <row r="9" spans="1:7" x14ac:dyDescent="0.2">
      <c r="B9" s="7" t="s">
        <v>929</v>
      </c>
      <c r="C9" s="79" t="s">
        <v>1016</v>
      </c>
      <c r="D9" s="77"/>
      <c r="E9" s="77"/>
      <c r="F9" s="7" t="s">
        <v>929</v>
      </c>
      <c r="G9" s="79" t="s">
        <v>1056</v>
      </c>
    </row>
    <row r="10" spans="1:7" x14ac:dyDescent="0.2">
      <c r="B10" s="7" t="s">
        <v>933</v>
      </c>
      <c r="C10" s="79" t="s">
        <v>1017</v>
      </c>
      <c r="D10" s="77"/>
      <c r="E10" s="77"/>
      <c r="F10" s="7" t="s">
        <v>933</v>
      </c>
      <c r="G10" s="79" t="s">
        <v>1006</v>
      </c>
    </row>
    <row r="11" spans="1:7" x14ac:dyDescent="0.2">
      <c r="B11" s="7" t="s">
        <v>989</v>
      </c>
      <c r="C11" s="79" t="s">
        <v>1018</v>
      </c>
      <c r="D11" s="77"/>
      <c r="E11" s="77"/>
      <c r="F11" s="7" t="s">
        <v>989</v>
      </c>
      <c r="G11" s="79" t="s">
        <v>1007</v>
      </c>
    </row>
    <row r="12" spans="1:7" x14ac:dyDescent="0.2">
      <c r="B12" s="7" t="s">
        <v>906</v>
      </c>
      <c r="C12" s="79" t="s">
        <v>1019</v>
      </c>
      <c r="D12" s="77"/>
      <c r="E12" s="77"/>
      <c r="F12" s="7" t="s">
        <v>906</v>
      </c>
      <c r="G12" s="79" t="s">
        <v>1008</v>
      </c>
    </row>
    <row r="13" spans="1:7" x14ac:dyDescent="0.2">
      <c r="B13" s="7" t="s">
        <v>990</v>
      </c>
      <c r="C13" s="79" t="s">
        <v>1020</v>
      </c>
      <c r="D13" s="77"/>
      <c r="E13" s="77"/>
      <c r="F13" s="7" t="s">
        <v>990</v>
      </c>
      <c r="G13" s="79" t="s">
        <v>1009</v>
      </c>
    </row>
    <row r="14" spans="1:7" x14ac:dyDescent="0.2">
      <c r="B14" s="7" t="s">
        <v>908</v>
      </c>
      <c r="C14" s="79" t="s">
        <v>1021</v>
      </c>
      <c r="D14" s="77"/>
      <c r="E14" s="77"/>
      <c r="F14" s="7" t="s">
        <v>908</v>
      </c>
      <c r="G14" s="79" t="s">
        <v>1010</v>
      </c>
    </row>
    <row r="15" spans="1:7" x14ac:dyDescent="0.2">
      <c r="B15" s="7" t="s">
        <v>927</v>
      </c>
      <c r="C15" s="79" t="s">
        <v>1022</v>
      </c>
      <c r="D15" s="77"/>
      <c r="E15" s="77"/>
      <c r="F15" s="7" t="s">
        <v>927</v>
      </c>
      <c r="G15" s="79" t="s">
        <v>1011</v>
      </c>
    </row>
    <row r="16" spans="1:7" x14ac:dyDescent="0.2">
      <c r="B16" s="7" t="s">
        <v>993</v>
      </c>
      <c r="C16" s="79" t="s">
        <v>1023</v>
      </c>
      <c r="D16" s="77"/>
      <c r="E16" s="77"/>
      <c r="F16" s="7" t="s">
        <v>993</v>
      </c>
      <c r="G16" s="79" t="s">
        <v>1012</v>
      </c>
    </row>
    <row r="17" spans="1:16" x14ac:dyDescent="0.2">
      <c r="B17" s="7" t="s">
        <v>996</v>
      </c>
      <c r="C17" s="79" t="s">
        <v>1024</v>
      </c>
      <c r="D17" s="77"/>
      <c r="E17" s="77"/>
      <c r="F17" s="7" t="s">
        <v>996</v>
      </c>
      <c r="G17" s="79" t="s">
        <v>1013</v>
      </c>
    </row>
    <row r="18" spans="1:16" x14ac:dyDescent="0.2">
      <c r="B18" s="7" t="s">
        <v>991</v>
      </c>
      <c r="C18" s="79" t="s">
        <v>1025</v>
      </c>
      <c r="D18" s="77"/>
      <c r="E18" s="77"/>
      <c r="F18" s="7" t="s">
        <v>991</v>
      </c>
      <c r="G18" s="79" t="s">
        <v>1014</v>
      </c>
    </row>
    <row r="22" spans="1:16" ht="12.75" customHeight="1" x14ac:dyDescent="0.2">
      <c r="B22" s="164" t="s">
        <v>1028</v>
      </c>
      <c r="C22" s="164"/>
      <c r="D22" s="84"/>
      <c r="E22" s="84"/>
      <c r="F22" s="84"/>
      <c r="G22" s="164" t="s">
        <v>0</v>
      </c>
      <c r="H22" s="157"/>
      <c r="I22" s="157"/>
      <c r="J22" s="157"/>
      <c r="K22" s="157"/>
      <c r="L22" s="157"/>
      <c r="M22" s="157"/>
      <c r="N22" s="157"/>
      <c r="O22" s="157"/>
      <c r="P22" s="157"/>
    </row>
    <row r="23" spans="1:16" x14ac:dyDescent="0.2">
      <c r="A23" s="85"/>
      <c r="B23" s="164"/>
      <c r="C23" s="164"/>
      <c r="D23" s="84"/>
      <c r="E23" s="84"/>
      <c r="F23" s="84"/>
      <c r="G23" s="164"/>
      <c r="H23" s="157"/>
      <c r="I23" s="157"/>
      <c r="J23" s="157"/>
      <c r="K23" s="157"/>
      <c r="L23" s="157"/>
      <c r="M23" s="157"/>
      <c r="N23" s="157"/>
      <c r="O23" s="157"/>
      <c r="P23" s="157"/>
    </row>
    <row r="24" spans="1:16" x14ac:dyDescent="0.2">
      <c r="A24" s="85"/>
      <c r="B24" s="164"/>
      <c r="C24" s="164"/>
      <c r="D24" s="84"/>
      <c r="E24" s="84"/>
      <c r="F24" s="84"/>
      <c r="G24" s="164"/>
      <c r="H24" s="157"/>
      <c r="I24" s="157"/>
      <c r="J24" s="157"/>
      <c r="K24" s="157"/>
      <c r="L24" s="157"/>
      <c r="M24" s="157"/>
      <c r="N24" s="157"/>
      <c r="O24" s="157"/>
      <c r="P24" s="157"/>
    </row>
    <row r="25" spans="1:16" x14ac:dyDescent="0.2">
      <c r="A25" s="83"/>
      <c r="B25" s="164"/>
      <c r="C25" s="164"/>
      <c r="D25" s="84"/>
      <c r="E25" s="84"/>
      <c r="F25" s="84"/>
      <c r="G25" s="164"/>
      <c r="H25" s="157"/>
      <c r="I25" s="157"/>
      <c r="J25" s="157"/>
      <c r="K25" s="157"/>
      <c r="L25" s="157"/>
      <c r="M25" s="157"/>
      <c r="N25" s="157"/>
      <c r="O25" s="157"/>
      <c r="P25" s="157"/>
    </row>
    <row r="26" spans="1:16" x14ac:dyDescent="0.2">
      <c r="A26" s="83"/>
      <c r="B26" s="83"/>
      <c r="C26" s="85"/>
      <c r="D26" s="85"/>
      <c r="E26" s="85"/>
      <c r="F26" s="83"/>
      <c r="G26" s="83"/>
      <c r="H26" s="83"/>
      <c r="I26" s="83"/>
      <c r="J26" s="83"/>
      <c r="K26" s="83"/>
      <c r="L26" s="83"/>
      <c r="M26" s="83"/>
    </row>
    <row r="27" spans="1:16" x14ac:dyDescent="0.2">
      <c r="A27" s="83"/>
      <c r="B27" s="83"/>
      <c r="C27" s="83"/>
      <c r="D27" s="83"/>
      <c r="E27" s="83"/>
      <c r="F27" s="83"/>
      <c r="G27" s="83"/>
      <c r="H27" s="83"/>
      <c r="I27" s="83"/>
      <c r="J27" s="83"/>
      <c r="K27" s="83"/>
      <c r="L27" s="83"/>
      <c r="M27" s="83"/>
    </row>
    <row r="28" spans="1:16" ht="12.75" customHeight="1" x14ac:dyDescent="0.2">
      <c r="A28" s="83"/>
      <c r="B28" s="164" t="s">
        <v>1</v>
      </c>
      <c r="C28" s="164"/>
      <c r="D28" s="71"/>
      <c r="E28" s="71"/>
      <c r="F28" s="71"/>
      <c r="G28" s="164" t="s">
        <v>2</v>
      </c>
      <c r="H28" s="157"/>
      <c r="I28" s="157"/>
      <c r="J28" s="157"/>
      <c r="K28" s="157"/>
      <c r="L28" s="157"/>
      <c r="M28" s="157"/>
      <c r="N28" s="157"/>
      <c r="O28" s="157"/>
      <c r="P28" s="157"/>
    </row>
    <row r="29" spans="1:16" ht="12.75" customHeight="1" x14ac:dyDescent="0.2">
      <c r="A29" s="85"/>
      <c r="B29" s="164"/>
      <c r="C29" s="164"/>
      <c r="D29" s="71"/>
      <c r="E29" s="71"/>
      <c r="F29" s="71"/>
      <c r="G29" s="164"/>
      <c r="H29" s="157"/>
      <c r="I29" s="157"/>
      <c r="J29" s="157"/>
      <c r="K29" s="157"/>
      <c r="L29" s="157"/>
      <c r="M29" s="157"/>
      <c r="N29" s="157"/>
      <c r="O29" s="157"/>
      <c r="P29" s="157"/>
    </row>
    <row r="30" spans="1:16" x14ac:dyDescent="0.2">
      <c r="A30" s="85"/>
      <c r="B30" s="85"/>
      <c r="C30" s="85"/>
      <c r="D30" s="85"/>
      <c r="E30" s="85"/>
      <c r="F30" s="85"/>
      <c r="G30" s="85"/>
      <c r="H30" s="85"/>
      <c r="I30" s="85"/>
      <c r="J30" s="85"/>
      <c r="K30" s="85"/>
      <c r="L30" s="85"/>
      <c r="M30" s="85"/>
    </row>
    <row r="31" spans="1:16" x14ac:dyDescent="0.2">
      <c r="A31" s="83"/>
      <c r="B31" s="83"/>
      <c r="C31" s="83"/>
      <c r="D31" s="83"/>
      <c r="E31" s="83"/>
      <c r="F31" s="83"/>
      <c r="G31" s="83"/>
      <c r="H31" s="83"/>
      <c r="I31" s="83"/>
      <c r="J31" s="83"/>
      <c r="K31" s="83"/>
      <c r="L31" s="83"/>
      <c r="M31" s="83"/>
    </row>
    <row r="32" spans="1:16" ht="12.75" customHeight="1" x14ac:dyDescent="0.2">
      <c r="B32" s="159" t="s">
        <v>3</v>
      </c>
      <c r="C32" s="159"/>
      <c r="D32" s="86"/>
      <c r="E32" s="86"/>
      <c r="F32" s="86"/>
      <c r="G32" s="160" t="s">
        <v>4</v>
      </c>
      <c r="H32" s="85"/>
      <c r="I32" s="85"/>
      <c r="J32" s="85"/>
      <c r="K32" s="85"/>
      <c r="L32" s="85"/>
      <c r="M32" s="85"/>
    </row>
    <row r="33" spans="1:13" x14ac:dyDescent="0.2">
      <c r="A33" s="85"/>
      <c r="B33" s="159"/>
      <c r="C33" s="159"/>
      <c r="D33" s="86"/>
      <c r="E33" s="86"/>
      <c r="F33" s="86"/>
      <c r="G33" s="160"/>
      <c r="H33" s="85"/>
      <c r="I33" s="85"/>
      <c r="J33" s="85"/>
      <c r="K33" s="85"/>
      <c r="L33" s="85"/>
      <c r="M33" s="85"/>
    </row>
    <row r="34" spans="1:13" x14ac:dyDescent="0.2">
      <c r="A34" s="85"/>
      <c r="B34" s="86"/>
      <c r="C34" s="86"/>
      <c r="D34" s="86"/>
      <c r="E34" s="86"/>
      <c r="F34" s="86"/>
      <c r="G34" s="87"/>
      <c r="H34" s="85"/>
      <c r="I34" s="85"/>
      <c r="J34" s="85"/>
      <c r="K34" s="85"/>
      <c r="L34" s="85"/>
      <c r="M34" s="85"/>
    </row>
    <row r="35" spans="1:13" ht="12.75" customHeight="1" x14ac:dyDescent="0.2">
      <c r="A35" s="88"/>
      <c r="B35" s="156" t="s">
        <v>1057</v>
      </c>
      <c r="C35" s="158"/>
      <c r="D35" s="84"/>
      <c r="E35" s="84"/>
      <c r="F35" s="84"/>
      <c r="G35" s="156" t="s">
        <v>1058</v>
      </c>
      <c r="H35" s="85"/>
      <c r="I35" s="85"/>
      <c r="J35" s="85"/>
      <c r="K35" s="85"/>
      <c r="L35" s="85"/>
      <c r="M35" s="85"/>
    </row>
    <row r="36" spans="1:13" x14ac:dyDescent="0.2">
      <c r="A36" s="89"/>
      <c r="B36" s="158"/>
      <c r="C36" s="158"/>
      <c r="D36" s="84"/>
      <c r="E36" s="84"/>
      <c r="F36" s="84"/>
      <c r="G36" s="156"/>
      <c r="H36" s="85"/>
      <c r="I36" s="85"/>
      <c r="J36" s="85"/>
      <c r="K36" s="85"/>
      <c r="L36" s="85"/>
      <c r="M36" s="85"/>
    </row>
    <row r="37" spans="1:13" x14ac:dyDescent="0.2">
      <c r="A37" s="90"/>
      <c r="B37" s="158"/>
      <c r="C37" s="158"/>
      <c r="D37" s="84"/>
      <c r="E37" s="84"/>
      <c r="F37" s="84"/>
      <c r="G37" s="156"/>
      <c r="H37" s="85"/>
      <c r="I37" s="85"/>
      <c r="J37" s="85"/>
      <c r="K37" s="85"/>
      <c r="L37" s="85"/>
      <c r="M37" s="85"/>
    </row>
    <row r="38" spans="1:13" x14ac:dyDescent="0.2">
      <c r="A38" s="90"/>
      <c r="B38" s="84"/>
      <c r="C38" s="84"/>
      <c r="D38" s="84"/>
      <c r="E38" s="84"/>
      <c r="F38" s="84"/>
      <c r="G38" s="84"/>
      <c r="H38" s="85"/>
      <c r="I38" s="85"/>
      <c r="J38" s="85"/>
      <c r="K38" s="85"/>
      <c r="L38" s="85"/>
      <c r="M38" s="85"/>
    </row>
    <row r="39" spans="1:13" ht="12.75" customHeight="1" x14ac:dyDescent="0.2">
      <c r="A39" s="90"/>
      <c r="B39" s="156" t="s">
        <v>1059</v>
      </c>
      <c r="C39" s="156"/>
      <c r="D39" s="91"/>
      <c r="E39" s="91"/>
      <c r="F39" s="91"/>
      <c r="G39" s="156" t="s">
        <v>1060</v>
      </c>
      <c r="H39" s="85"/>
      <c r="I39" s="85"/>
      <c r="J39" s="85"/>
      <c r="K39" s="85"/>
      <c r="L39" s="85"/>
      <c r="M39" s="85"/>
    </row>
    <row r="40" spans="1:13" ht="12.75" customHeight="1" x14ac:dyDescent="0.2">
      <c r="A40" s="88"/>
      <c r="B40" s="156"/>
      <c r="C40" s="156"/>
      <c r="D40" s="92"/>
      <c r="E40" s="92"/>
      <c r="F40" s="92"/>
      <c r="G40" s="156"/>
      <c r="H40" s="85"/>
      <c r="I40" s="85"/>
      <c r="J40" s="85"/>
      <c r="K40" s="85"/>
      <c r="L40" s="85"/>
      <c r="M40" s="85"/>
    </row>
  </sheetData>
  <sheetProtection algorithmName="SHA-512" hashValue="eA3DouKuAom/j+BdNjs5ejtftCbmIHZ/ZfNDSKznvO3Avsp42Nny4QuraOBbKuiEcjFRP6jQklIEQIDZIFq1Ng==" saltValue="3f3ALK/ERlxEGeQ/waLVpQ==" spinCount="100000" sheet="1" objects="1" scenarios="1"/>
  <mergeCells count="32">
    <mergeCell ref="B2:B4"/>
    <mergeCell ref="C2:C4"/>
    <mergeCell ref="F2:F4"/>
    <mergeCell ref="G2:G4"/>
    <mergeCell ref="P28:P29"/>
    <mergeCell ref="P22:P25"/>
    <mergeCell ref="B28:C29"/>
    <mergeCell ref="G28:G29"/>
    <mergeCell ref="H28:H29"/>
    <mergeCell ref="I28:I29"/>
    <mergeCell ref="J28:J29"/>
    <mergeCell ref="G22:G25"/>
    <mergeCell ref="H22:H25"/>
    <mergeCell ref="I22:I25"/>
    <mergeCell ref="B22:C25"/>
    <mergeCell ref="N22:N25"/>
    <mergeCell ref="O22:O25"/>
    <mergeCell ref="J22:J25"/>
    <mergeCell ref="K22:K25"/>
    <mergeCell ref="L22:L25"/>
    <mergeCell ref="M22:M25"/>
    <mergeCell ref="B39:C40"/>
    <mergeCell ref="G39:G40"/>
    <mergeCell ref="M28:M29"/>
    <mergeCell ref="N28:N29"/>
    <mergeCell ref="O28:O29"/>
    <mergeCell ref="B35:C37"/>
    <mergeCell ref="G35:G37"/>
    <mergeCell ref="K28:K29"/>
    <mergeCell ref="L28:L29"/>
    <mergeCell ref="B32:C33"/>
    <mergeCell ref="G32:G33"/>
  </mergeCells>
  <phoneticPr fontId="22" type="noConversion"/>
  <hyperlinks>
    <hyperlink ref="B15" location="OCE" display="OCE" xr:uid="{00000000-0004-0000-0100-000000000000}"/>
    <hyperlink ref="B16" location="WUN" display="WUN" xr:uid="{00000000-0004-0000-0100-000001000000}"/>
    <hyperlink ref="B14" location="SPC" display="SPC" xr:uid="{00000000-0004-0000-0100-000002000000}"/>
    <hyperlink ref="B12" location="FLG" display="FLG" xr:uid="{00000000-0004-0000-0100-000003000000}"/>
    <hyperlink ref="B13" location="TYPR" display="TYPR" xr:uid="{00000000-0004-0000-0100-000004000000}"/>
    <hyperlink ref="B11" location="PPL" display="PPL" xr:uid="{00000000-0004-0000-0100-000005000000}"/>
    <hyperlink ref="B10" location="FPR" display="FPR" xr:uid="{00000000-0004-0000-0100-000006000000}"/>
    <hyperlink ref="B9" location="FPRV" display="FPRV" xr:uid="{00000000-0004-0000-0100-000007000000}"/>
    <hyperlink ref="B8" location="PDES!A1" display="PDES" xr:uid="{00000000-0004-0000-0100-000008000000}"/>
    <hyperlink ref="B7" location="PRICE!A1" display="PRICE" xr:uid="{00000000-0004-0000-0100-000009000000}"/>
    <hyperlink ref="B18" location="SZCA" display="SZCA" xr:uid="{00000000-0004-0000-0100-00000A000000}"/>
    <hyperlink ref="B17" location="CUR" display="CUR" xr:uid="{00000000-0004-0000-0100-00000B000000}"/>
    <hyperlink ref="F15" location="OCE" display="OCE" xr:uid="{00000000-0004-0000-0100-00000C000000}"/>
    <hyperlink ref="F16" location="WUN" display="WUN" xr:uid="{00000000-0004-0000-0100-00000D000000}"/>
    <hyperlink ref="F14" location="SPC" display="SPC" xr:uid="{00000000-0004-0000-0100-00000E000000}"/>
    <hyperlink ref="F12" location="FLG" display="FLG" xr:uid="{00000000-0004-0000-0100-00000F000000}"/>
    <hyperlink ref="F13" location="TYPR" display="TYPR" xr:uid="{00000000-0004-0000-0100-000010000000}"/>
    <hyperlink ref="F11" location="PPL" display="PPL" xr:uid="{00000000-0004-0000-0100-000011000000}"/>
    <hyperlink ref="F10" location="FPR" display="FPR" xr:uid="{00000000-0004-0000-0100-000012000000}"/>
    <hyperlink ref="F9" location="FPRV" display="FPRV" xr:uid="{00000000-0004-0000-0100-000013000000}"/>
    <hyperlink ref="F8" location="PDES!A1" display="PDES" xr:uid="{00000000-0004-0000-0100-000014000000}"/>
    <hyperlink ref="F7" location="PRICE!A1" display="PRICE" xr:uid="{00000000-0004-0000-0100-000015000000}"/>
    <hyperlink ref="F18" location="SZCA" display="SZCA" xr:uid="{00000000-0004-0000-0100-000016000000}"/>
    <hyperlink ref="F17" location="CUR" display="CUR" xr:uid="{00000000-0004-0000-0100-000017000000}"/>
    <hyperlink ref="B39:C40" r:id="rId1" display=" -Refer to the document &quot;GUIDELINES FOR THE REPORTING OF FISHERIES STATISTICS TO THE IOTC&quot; for more information about IOTC data requirements." xr:uid="{00000000-0004-0000-0100-000018000000}"/>
    <hyperlink ref="G35:G37" r:id="rId2" display=" -Veuillez vous référer au document « REMARQUES GENERALES SUR L’UTILISATION DES FORMULAIRES CTOI » si c’est la première fois que vous utilisez les formulaires CTOI. Ce document vous guidera lors de l’utilisation des formulaires Excel de la CTOI." xr:uid="{00000000-0004-0000-0100-000019000000}"/>
    <hyperlink ref="G39:G40" r:id="rId3" display=" -Veuillez vous référer au document « DIRECTIVES POUR LA DECLARATION DES STATISTIQUES DES PECHES A LA CTOI » pour plus d’informations sur les données exigibles." xr:uid="{00000000-0004-0000-0100-00001A000000}"/>
    <hyperlink ref="B35:C37" r:id="rId4" display=" -Refer to the document &quot;GENERAL NOTES ON THE USE OF IOTC FORMS&quot; if this is the first time that you use IOTC Forms. This document is intended to guide you through when using the IOTC Excel Forms." xr:uid="{00000000-0004-0000-0100-00001B000000}"/>
  </hyperlinks>
  <pageMargins left="0.75" right="0.75" top="1" bottom="1" header="0.5" footer="0.5"/>
  <pageSetup paperSize="9" orientation="portrait" horizontalDpi="1200" verticalDpi="1200" r:id="rId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B1:J36"/>
  <sheetViews>
    <sheetView topLeftCell="A7" workbookViewId="0">
      <selection activeCell="B7" sqref="B7"/>
    </sheetView>
  </sheetViews>
  <sheetFormatPr defaultRowHeight="12.75" x14ac:dyDescent="0.2"/>
  <cols>
    <col min="2" max="2" width="21.5703125" bestFit="1" customWidth="1"/>
    <col min="3" max="3" width="27.7109375" bestFit="1" customWidth="1"/>
  </cols>
  <sheetData>
    <row r="1" spans="2:10" x14ac:dyDescent="0.2">
      <c r="B1" t="s">
        <v>887</v>
      </c>
      <c r="C1" t="s">
        <v>681</v>
      </c>
      <c r="D1" t="str">
        <f>UPPER(C1)</f>
        <v>NOM</v>
      </c>
      <c r="J1" t="s">
        <v>898</v>
      </c>
    </row>
    <row r="2" spans="2:10" x14ac:dyDescent="0.2">
      <c r="B2" t="s">
        <v>889</v>
      </c>
      <c r="C2" t="s">
        <v>889</v>
      </c>
      <c r="D2" t="str">
        <f t="shared" ref="D2:D36" si="0">UPPER(C2)</f>
        <v>E-MAIL</v>
      </c>
      <c r="J2" t="s">
        <v>899</v>
      </c>
    </row>
    <row r="3" spans="2:10" x14ac:dyDescent="0.2">
      <c r="B3" t="s">
        <v>890</v>
      </c>
      <c r="C3" t="s">
        <v>274</v>
      </c>
      <c r="D3" t="str">
        <f t="shared" si="0"/>
        <v>NO. TELEPHONE</v>
      </c>
      <c r="J3" t="s">
        <v>900</v>
      </c>
    </row>
    <row r="4" spans="2:10" x14ac:dyDescent="0.2">
      <c r="B4" t="s">
        <v>888</v>
      </c>
      <c r="C4" t="s">
        <v>1032</v>
      </c>
      <c r="D4" t="str">
        <f t="shared" si="0"/>
        <v>PAYS DECLARANT</v>
      </c>
    </row>
    <row r="5" spans="2:10" x14ac:dyDescent="0.2">
      <c r="B5" t="s">
        <v>891</v>
      </c>
      <c r="C5" t="s">
        <v>1033</v>
      </c>
      <c r="D5" t="str">
        <f t="shared" si="0"/>
        <v>PAVILLON D’ORIGINE</v>
      </c>
    </row>
    <row r="6" spans="2:10" x14ac:dyDescent="0.2">
      <c r="B6" s="145" t="s">
        <v>893</v>
      </c>
      <c r="C6" s="145" t="s">
        <v>1034</v>
      </c>
      <c r="D6" s="145" t="str">
        <f t="shared" si="0"/>
        <v>ANNÉE</v>
      </c>
    </row>
    <row r="7" spans="2:10" x14ac:dyDescent="0.2">
      <c r="B7" s="145" t="s">
        <v>939</v>
      </c>
      <c r="C7" s="145" t="s">
        <v>1035</v>
      </c>
      <c r="D7" s="145" t="str">
        <f t="shared" si="0"/>
        <v>UNITÉ DE POIDS</v>
      </c>
    </row>
    <row r="8" spans="2:10" x14ac:dyDescent="0.2">
      <c r="B8" s="145" t="s">
        <v>9</v>
      </c>
      <c r="C8" s="145" t="s">
        <v>1036</v>
      </c>
      <c r="D8" s="145" t="str">
        <f t="shared" si="0"/>
        <v>COMMENTAIRES</v>
      </c>
    </row>
    <row r="9" spans="2:10" x14ac:dyDescent="0.2">
      <c r="B9" s="145" t="s">
        <v>957</v>
      </c>
      <c r="C9" s="145" t="s">
        <v>1037</v>
      </c>
      <c r="D9" s="145" t="str">
        <f t="shared" si="0"/>
        <v>TYPE DE PRODUIT</v>
      </c>
    </row>
    <row r="10" spans="2:10" x14ac:dyDescent="0.2">
      <c r="B10" s="145" t="s">
        <v>1397</v>
      </c>
      <c r="C10" s="145" t="s">
        <v>1038</v>
      </c>
      <c r="D10" s="145" t="str">
        <f t="shared" si="0"/>
        <v>NOM SCIENTIFIQUE</v>
      </c>
    </row>
    <row r="11" spans="2:10" x14ac:dyDescent="0.2">
      <c r="B11" s="145" t="s">
        <v>992</v>
      </c>
      <c r="C11" s="145" t="s">
        <v>1039</v>
      </c>
      <c r="D11" s="145" t="str">
        <f t="shared" si="0"/>
        <v>CATÉGORIE DE TAILLE</v>
      </c>
    </row>
    <row r="12" spans="2:10" x14ac:dyDescent="0.2">
      <c r="B12" s="145" t="s">
        <v>940</v>
      </c>
      <c r="C12" s="145" t="s">
        <v>941</v>
      </c>
      <c r="D12" s="145" t="str">
        <f t="shared" si="0"/>
        <v>MONNAIE</v>
      </c>
    </row>
    <row r="13" spans="2:10" x14ac:dyDescent="0.2">
      <c r="B13" s="145" t="s">
        <v>276</v>
      </c>
      <c r="C13" s="145" t="s">
        <v>1040</v>
      </c>
      <c r="D13" s="145" t="str">
        <f t="shared" si="0"/>
        <v>TYPE DE DONNEES</v>
      </c>
    </row>
    <row r="14" spans="2:10" x14ac:dyDescent="0.2">
      <c r="B14" s="145" t="s">
        <v>934</v>
      </c>
      <c r="C14" s="145" t="s">
        <v>1041</v>
      </c>
      <c r="D14" s="145" t="str">
        <f t="shared" si="0"/>
        <v>CONSERVATION DU POISSON</v>
      </c>
    </row>
    <row r="15" spans="2:10" x14ac:dyDescent="0.2">
      <c r="B15" s="145" t="s">
        <v>928</v>
      </c>
      <c r="C15" s="145" t="s">
        <v>1042</v>
      </c>
      <c r="D15" s="145" t="str">
        <f t="shared" si="0"/>
        <v>TRANSFORMATION DU POISSON</v>
      </c>
    </row>
    <row r="16" spans="2:10" x14ac:dyDescent="0.2">
      <c r="B16" s="145" t="s">
        <v>937</v>
      </c>
      <c r="C16" s="145" t="s">
        <v>1043</v>
      </c>
      <c r="D16" s="145" t="str">
        <f t="shared" si="0"/>
        <v>DESTINATION DU PRODUIT</v>
      </c>
    </row>
    <row r="17" spans="2:4" x14ac:dyDescent="0.2">
      <c r="B17" s="145" t="s">
        <v>935</v>
      </c>
      <c r="C17" s="145" t="s">
        <v>936</v>
      </c>
      <c r="D17" s="145" t="str">
        <f t="shared" si="0"/>
        <v>LIEU DE LA TARIFICATION</v>
      </c>
    </row>
    <row r="18" spans="2:4" x14ac:dyDescent="0.2">
      <c r="B18" s="145" t="s">
        <v>846</v>
      </c>
      <c r="C18" s="145" t="s">
        <v>1044</v>
      </c>
      <c r="D18" s="145" t="str">
        <f t="shared" si="0"/>
        <v>ESPÈCE</v>
      </c>
    </row>
    <row r="19" spans="2:4" x14ac:dyDescent="0.2">
      <c r="B19" s="145" t="s">
        <v>680</v>
      </c>
      <c r="C19" s="145" t="s">
        <v>680</v>
      </c>
      <c r="D19" s="145" t="str">
        <f t="shared" si="0"/>
        <v>CONTACT</v>
      </c>
    </row>
    <row r="20" spans="2:4" x14ac:dyDescent="0.2">
      <c r="B20" s="145" t="s">
        <v>282</v>
      </c>
      <c r="C20" s="145" t="s">
        <v>282</v>
      </c>
      <c r="D20" s="145" t="str">
        <f t="shared" si="0"/>
        <v>ORGANISATION</v>
      </c>
    </row>
    <row r="21" spans="2:4" x14ac:dyDescent="0.2">
      <c r="B21" s="145" t="s">
        <v>938</v>
      </c>
      <c r="C21" s="145" t="s">
        <v>1045</v>
      </c>
      <c r="D21" s="145" t="str">
        <f t="shared" si="0"/>
        <v>MARCHÉ DE DESTINATION</v>
      </c>
    </row>
    <row r="22" spans="2:4" x14ac:dyDescent="0.2">
      <c r="B22" s="145" t="s">
        <v>998</v>
      </c>
      <c r="C22" s="145" t="s">
        <v>1046</v>
      </c>
      <c r="D22" s="145" t="str">
        <f t="shared" si="0"/>
        <v>MOIS</v>
      </c>
    </row>
    <row r="23" spans="2:4" x14ac:dyDescent="0.2">
      <c r="B23" s="145" t="s">
        <v>942</v>
      </c>
      <c r="C23" s="145" t="s">
        <v>943</v>
      </c>
      <c r="D23" s="145" t="str">
        <f t="shared" si="0"/>
        <v>PRIX</v>
      </c>
    </row>
    <row r="24" spans="2:4" x14ac:dyDescent="0.2">
      <c r="B24" s="145" t="s">
        <v>988</v>
      </c>
      <c r="C24" s="145" t="s">
        <v>1047</v>
      </c>
      <c r="D24" s="145" t="str">
        <f t="shared" si="0"/>
        <v>COMMENTAIRES SUR UN PRODUIT SPECIFIQUE</v>
      </c>
    </row>
    <row r="25" spans="2:4" x14ac:dyDescent="0.2">
      <c r="B25" s="145" t="s">
        <v>6</v>
      </c>
      <c r="C25" s="145" t="s">
        <v>1029</v>
      </c>
      <c r="D25" s="145" t="str">
        <f t="shared" si="0"/>
        <v>CADRANT</v>
      </c>
    </row>
    <row r="26" spans="2:4" x14ac:dyDescent="0.2">
      <c r="B26" s="145" t="s">
        <v>7</v>
      </c>
      <c r="C26" s="145" t="s">
        <v>7</v>
      </c>
      <c r="D26" s="145" t="str">
        <f t="shared" si="0"/>
        <v>LATITUDE</v>
      </c>
    </row>
    <row r="27" spans="2:4" x14ac:dyDescent="0.2">
      <c r="B27" s="145" t="s">
        <v>8</v>
      </c>
      <c r="C27" s="145" t="s">
        <v>8</v>
      </c>
      <c r="D27" s="145" t="str">
        <f t="shared" si="0"/>
        <v>LONGITUDE</v>
      </c>
    </row>
    <row r="28" spans="2:4" x14ac:dyDescent="0.2">
      <c r="B28" s="145" t="s">
        <v>284</v>
      </c>
      <c r="C28" s="145" t="s">
        <v>285</v>
      </c>
      <c r="D28" s="145" t="str">
        <f t="shared" si="0"/>
        <v>STATISTIQUES THONIÈRES DANS L’OCÉAN INDIEN</v>
      </c>
    </row>
    <row r="29" spans="2:4" x14ac:dyDescent="0.2">
      <c r="B29" s="145" t="s">
        <v>987</v>
      </c>
      <c r="C29" s="145" t="s">
        <v>1396</v>
      </c>
      <c r="D29" s="145" t="str">
        <f t="shared" si="0"/>
        <v>FORMULAIRE CTOI 7:PRIX DU POISSON</v>
      </c>
    </row>
    <row r="30" spans="2:4" x14ac:dyDescent="0.2">
      <c r="B30" s="145" t="s">
        <v>287</v>
      </c>
      <c r="C30" s="145" t="s">
        <v>286</v>
      </c>
      <c r="D30" s="145" t="str">
        <f t="shared" si="0"/>
        <v>(FLOTTILLES FOURNISSANT DES CAHIERS DE PÊCHE)</v>
      </c>
    </row>
    <row r="31" spans="2:4" x14ac:dyDescent="0.2">
      <c r="B31" s="145" t="s">
        <v>896</v>
      </c>
      <c r="C31" s="145" t="s">
        <v>1030</v>
      </c>
      <c r="D31" s="145" t="str">
        <f t="shared" si="0"/>
        <v>AFFICHER LES LISTES EN</v>
      </c>
    </row>
    <row r="32" spans="2:4" x14ac:dyDescent="0.2">
      <c r="B32" s="145" t="s">
        <v>897</v>
      </c>
      <c r="C32" s="145" t="s">
        <v>682</v>
      </c>
      <c r="D32" s="145" t="str">
        <f t="shared" si="0"/>
        <v>SOUMISSION</v>
      </c>
    </row>
    <row r="33" spans="2:4" x14ac:dyDescent="0.2">
      <c r="B33" s="145" t="s">
        <v>886</v>
      </c>
      <c r="C33" s="145" t="s">
        <v>1048</v>
      </c>
      <c r="D33" s="145" t="str">
        <f t="shared" si="0"/>
        <v>INFORMATION GÉNÉRALES</v>
      </c>
    </row>
    <row r="34" spans="2:4" x14ac:dyDescent="0.2">
      <c r="B34" s="145" t="s">
        <v>922</v>
      </c>
      <c r="C34" s="145" t="s">
        <v>1049</v>
      </c>
      <c r="D34" s="145" t="str">
        <f t="shared" si="0"/>
        <v>OCÉAN</v>
      </c>
    </row>
    <row r="35" spans="2:4" x14ac:dyDescent="0.2">
      <c r="B35" s="145" t="s">
        <v>999</v>
      </c>
      <c r="C35" s="145" t="s">
        <v>1031</v>
      </c>
      <c r="D35" s="145" t="str">
        <f t="shared" si="0"/>
        <v>DEPUIS</v>
      </c>
    </row>
    <row r="36" spans="2:4" x14ac:dyDescent="0.2">
      <c r="B36" s="145" t="s">
        <v>1000</v>
      </c>
      <c r="C36" s="145" t="s">
        <v>1050</v>
      </c>
      <c r="D36" s="145" t="str">
        <f t="shared" si="0"/>
        <v>AU</v>
      </c>
    </row>
  </sheetData>
  <sheetProtection algorithmName="SHA-512" hashValue="KlFWRvZCfGJMdLCR5Fz6WAFH9gmyxNnl86UcH4JvIyrM9IzLPvo57bArMciue8jvgJcdC498nlt4Uf64ySdyJA==" saltValue="/bVRNGgNs3+GYQxElRSBgg==" spinCount="100000" sheet="1" objects="1" scenarios="1" selectLockedCells="1"/>
  <phoneticPr fontId="4" type="noConversion"/>
  <pageMargins left="0.75" right="0.75" top="1" bottom="1" header="0.5" footer="0.5"/>
  <pageSetup paperSize="9"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00B050"/>
  </sheetPr>
  <dimension ref="A1:W604"/>
  <sheetViews>
    <sheetView tabSelected="1" zoomScale="85" zoomScaleNormal="85" workbookViewId="0">
      <selection activeCell="C29" sqref="C29:D29"/>
    </sheetView>
  </sheetViews>
  <sheetFormatPr defaultRowHeight="12.75" x14ac:dyDescent="0.2"/>
  <cols>
    <col min="1" max="1" width="17.85546875" customWidth="1"/>
    <col min="2" max="2" width="23" customWidth="1"/>
    <col min="3" max="3" width="17.42578125" customWidth="1"/>
    <col min="4" max="4" width="16.85546875" customWidth="1"/>
    <col min="5" max="5" width="28.28515625" customWidth="1"/>
    <col min="6" max="6" width="25.28515625" customWidth="1"/>
    <col min="7" max="7" width="23.85546875" customWidth="1"/>
    <col min="8" max="8" width="18.7109375" customWidth="1"/>
    <col min="9" max="9" width="18" customWidth="1"/>
    <col min="10" max="10" width="16.42578125" customWidth="1"/>
    <col min="11" max="11" width="17.7109375" customWidth="1"/>
    <col min="12" max="12" width="10.140625" bestFit="1" customWidth="1"/>
    <col min="13" max="13" width="17.28515625" customWidth="1"/>
    <col min="14" max="14" width="19.140625" customWidth="1"/>
    <col min="15" max="15" width="12.5703125" customWidth="1"/>
    <col min="16" max="16" width="12.85546875" customWidth="1"/>
    <col min="17" max="17" width="11.85546875" customWidth="1"/>
  </cols>
  <sheetData>
    <row r="1" spans="1:21" s="1" customFormat="1" ht="15" customHeight="1" x14ac:dyDescent="0.4">
      <c r="A1" s="64"/>
      <c r="B1" s="65"/>
      <c r="C1" s="65"/>
      <c r="D1" s="65"/>
      <c r="E1" s="65"/>
      <c r="F1" s="65"/>
      <c r="G1" s="165" t="str">
        <f ca="1">OFFSET(IF($D$5=TRUE,FORM!C28,FORM!B28),,)</f>
        <v>Tuna Statistics in the Indian Ocean</v>
      </c>
      <c r="H1" s="165"/>
      <c r="I1" s="165"/>
      <c r="J1" s="165"/>
      <c r="K1" s="165"/>
      <c r="L1" s="165"/>
      <c r="M1" s="104"/>
      <c r="N1" s="65"/>
      <c r="O1" s="65"/>
      <c r="P1" s="65"/>
      <c r="Q1" s="65"/>
      <c r="R1" s="66"/>
    </row>
    <row r="2" spans="1:21" s="1" customFormat="1" ht="15" customHeight="1" x14ac:dyDescent="0.4">
      <c r="A2" s="67"/>
      <c r="B2" s="4"/>
      <c r="C2" s="4"/>
      <c r="D2" s="4"/>
      <c r="E2" s="4"/>
      <c r="F2" s="4"/>
      <c r="G2" s="166"/>
      <c r="H2" s="166"/>
      <c r="I2" s="166"/>
      <c r="J2" s="166"/>
      <c r="K2" s="166"/>
      <c r="L2" s="166"/>
      <c r="M2" s="105"/>
      <c r="N2" s="4"/>
      <c r="O2" s="4"/>
      <c r="P2" s="4"/>
      <c r="Q2" s="4"/>
      <c r="R2" s="68"/>
    </row>
    <row r="3" spans="1:21" s="1" customFormat="1" ht="26.45" customHeight="1" x14ac:dyDescent="0.35">
      <c r="A3" s="67"/>
      <c r="B3" s="4"/>
      <c r="C3" s="4"/>
      <c r="D3" s="4"/>
      <c r="E3" s="4"/>
      <c r="F3" s="4"/>
      <c r="G3" s="167" t="str">
        <f ca="1">OFFSET(IF($D$5=TRUE,FORM!C29,FORM!B29),,)</f>
        <v>IOTC FORM 7PR: FISH MARKET PRICES</v>
      </c>
      <c r="H3" s="167"/>
      <c r="I3" s="167"/>
      <c r="J3" s="167"/>
      <c r="K3" s="167"/>
      <c r="L3" s="167"/>
      <c r="M3" s="106"/>
      <c r="N3" s="4"/>
      <c r="O3" s="4"/>
      <c r="P3" s="4"/>
      <c r="Q3" s="4"/>
      <c r="R3" s="68"/>
    </row>
    <row r="4" spans="1:21" s="1" customFormat="1" ht="15" customHeight="1" x14ac:dyDescent="0.2">
      <c r="A4" s="67"/>
      <c r="B4" s="4"/>
      <c r="C4" s="4"/>
      <c r="D4" s="4"/>
      <c r="E4" s="4"/>
      <c r="F4" s="4"/>
      <c r="G4" s="4"/>
      <c r="H4" s="4"/>
      <c r="I4" s="4"/>
      <c r="J4" s="4"/>
      <c r="K4" s="4"/>
      <c r="L4" s="4"/>
      <c r="M4" s="4"/>
      <c r="N4" s="4"/>
      <c r="O4" s="4"/>
      <c r="P4" s="4"/>
      <c r="Q4" s="4"/>
      <c r="R4" s="68"/>
    </row>
    <row r="5" spans="1:21" s="26" customFormat="1" ht="17.45" customHeight="1" x14ac:dyDescent="0.25">
      <c r="A5" s="98" t="s">
        <v>510</v>
      </c>
      <c r="B5" s="95"/>
      <c r="C5" s="96"/>
      <c r="D5" s="97" t="b">
        <v>0</v>
      </c>
      <c r="E5" s="38"/>
      <c r="F5" s="38"/>
      <c r="G5" s="4"/>
      <c r="H5" s="4"/>
      <c r="I5" s="4"/>
      <c r="J5" s="4"/>
      <c r="K5" s="4"/>
      <c r="L5" s="32"/>
      <c r="M5" s="32"/>
      <c r="N5" s="32"/>
      <c r="O5" s="32"/>
      <c r="P5" s="32"/>
      <c r="Q5" s="32"/>
      <c r="R5" s="69"/>
      <c r="S5" s="1"/>
      <c r="T5" s="1"/>
      <c r="U5" s="1"/>
    </row>
    <row r="6" spans="1:21" s="26" customFormat="1" ht="13.7" customHeight="1" x14ac:dyDescent="0.2">
      <c r="A6" s="191" t="str">
        <f ca="1">OFFSET(IF($D$5=TRUE,FORM!C31,FORM!B31),,)</f>
        <v>DISPLAY LISTS IN</v>
      </c>
      <c r="B6" s="192"/>
      <c r="C6" s="176" t="s">
        <v>843</v>
      </c>
      <c r="D6" s="177"/>
      <c r="E6" s="4"/>
      <c r="F6" s="4"/>
      <c r="G6" s="4"/>
      <c r="H6" s="4"/>
      <c r="I6" s="4"/>
      <c r="J6" s="4"/>
      <c r="K6" s="4"/>
      <c r="L6" s="32"/>
      <c r="M6" s="32"/>
      <c r="N6" s="32"/>
      <c r="O6" s="32"/>
      <c r="P6" s="32"/>
      <c r="Q6" s="32"/>
      <c r="R6" s="69"/>
      <c r="S6" s="1"/>
      <c r="T6" s="1"/>
      <c r="U6" s="1"/>
    </row>
    <row r="7" spans="1:21" s="26" customFormat="1" ht="7.5" customHeight="1" x14ac:dyDescent="0.2">
      <c r="A7" s="146"/>
      <c r="B7" s="147"/>
      <c r="C7" s="147"/>
      <c r="D7" s="147"/>
      <c r="E7" s="38"/>
      <c r="F7" s="38"/>
      <c r="G7" s="4"/>
      <c r="H7" s="4"/>
      <c r="I7" s="4"/>
      <c r="J7" s="4"/>
      <c r="K7" s="4"/>
      <c r="L7" s="4"/>
      <c r="M7" s="4"/>
      <c r="N7" s="4"/>
      <c r="O7" s="4"/>
      <c r="P7" s="4"/>
      <c r="Q7" s="4"/>
      <c r="R7" s="148"/>
      <c r="S7" s="1"/>
      <c r="T7" s="1"/>
      <c r="U7" s="1"/>
    </row>
    <row r="8" spans="1:21" s="33" customFormat="1" ht="15" customHeight="1" x14ac:dyDescent="0.25">
      <c r="A8" s="193" t="str">
        <f ca="1">OFFSET(IF($D$5=TRUE,FORM!C32,FORM!B32),,)</f>
        <v>SUBMISSION</v>
      </c>
      <c r="B8" s="194"/>
      <c r="C8" s="52"/>
      <c r="D8" s="52"/>
      <c r="E8" s="52"/>
      <c r="F8" s="52"/>
      <c r="G8" s="52"/>
      <c r="H8" s="52"/>
      <c r="I8" s="52"/>
      <c r="J8" s="52"/>
      <c r="K8" s="52"/>
      <c r="L8" s="52"/>
      <c r="M8" s="52"/>
      <c r="N8" s="52"/>
      <c r="O8" s="149"/>
      <c r="P8" s="149"/>
      <c r="Q8" s="149"/>
      <c r="R8" s="57"/>
      <c r="S8" s="1"/>
      <c r="T8" s="1"/>
      <c r="U8" s="1"/>
    </row>
    <row r="9" spans="1:21" s="33" customFormat="1" ht="15" customHeight="1" x14ac:dyDescent="0.25">
      <c r="A9" s="193" t="str">
        <f ca="1">OFFSET(IF($D$5=TRUE,FORM!C19,FORM!B19),,)</f>
        <v>CONTACT</v>
      </c>
      <c r="B9" s="194"/>
      <c r="C9" s="52"/>
      <c r="D9" s="52"/>
      <c r="E9" s="52"/>
      <c r="F9" s="52"/>
      <c r="G9" s="52"/>
      <c r="H9" s="52"/>
      <c r="I9" s="63" t="str">
        <f ca="1">OFFSET(IF($D$5=TRUE,FORM!C20,FORM!B20),,)</f>
        <v>ORGANISATION</v>
      </c>
      <c r="J9" s="52"/>
      <c r="K9" s="52"/>
      <c r="L9" s="52"/>
      <c r="M9" s="149"/>
      <c r="N9" s="149"/>
      <c r="O9" s="149"/>
      <c r="P9" s="149"/>
      <c r="Q9" s="149"/>
      <c r="R9" s="57"/>
      <c r="S9" s="1"/>
      <c r="T9" s="1"/>
      <c r="U9" s="1"/>
    </row>
    <row r="10" spans="1:21" s="33" customFormat="1" ht="15" customHeight="1" x14ac:dyDescent="0.2">
      <c r="A10" s="119" t="str">
        <f ca="1">OFFSET(IF($D$5=TRUE,FORM!C1,FORM!B1),,)</f>
        <v>NAME</v>
      </c>
      <c r="B10" s="174"/>
      <c r="C10" s="175"/>
      <c r="D10" s="175"/>
      <c r="E10" s="175"/>
      <c r="F10" s="175"/>
      <c r="G10" s="175"/>
      <c r="H10" s="52"/>
      <c r="I10" s="118" t="str">
        <f ca="1">OFFSET(IF($D$5=TRUE,FORM!C1,FORM!B1),,)</f>
        <v>NAME</v>
      </c>
      <c r="J10" s="174"/>
      <c r="K10" s="175"/>
      <c r="L10" s="175"/>
      <c r="M10" s="175"/>
      <c r="N10" s="175"/>
      <c r="O10" s="175"/>
      <c r="P10" s="175"/>
      <c r="Q10" s="175"/>
      <c r="R10" s="57"/>
      <c r="S10" s="1"/>
      <c r="T10" s="51"/>
      <c r="U10" s="1"/>
    </row>
    <row r="11" spans="1:21" s="33" customFormat="1" ht="15" customHeight="1" x14ac:dyDescent="0.2">
      <c r="A11" s="119" t="str">
        <f ca="1">OFFSET(IF($D$5=TRUE,FORM!C2,FORM!B2),,)</f>
        <v>E-MAIL</v>
      </c>
      <c r="B11" s="187"/>
      <c r="C11" s="188"/>
      <c r="D11" s="189"/>
      <c r="E11" s="53" t="str">
        <f ca="1">OFFSET(IF($D$5=TRUE,FORM!C3,FORM!B3),,)</f>
        <v>PHONE No.</v>
      </c>
      <c r="F11" s="174"/>
      <c r="G11" s="175"/>
      <c r="H11" s="52"/>
      <c r="I11" s="118" t="str">
        <f ca="1">OFFSET(IF($D$5=TRUE,FORM!C2,FORM!B2),,)</f>
        <v>E-MAIL</v>
      </c>
      <c r="J11" s="174"/>
      <c r="K11" s="175"/>
      <c r="L11" s="175"/>
      <c r="M11" s="175"/>
      <c r="N11" s="55" t="str">
        <f ca="1">OFFSET(IF($D$5=TRUE,FORM!C3,FORM!B3),,)</f>
        <v>PHONE No.</v>
      </c>
      <c r="O11" s="174"/>
      <c r="P11" s="175"/>
      <c r="Q11" s="175"/>
      <c r="R11" s="57"/>
      <c r="S11" s="1"/>
      <c r="T11" s="1"/>
      <c r="U11" s="1"/>
    </row>
    <row r="12" spans="1:21" s="33" customFormat="1" ht="15" customHeight="1" x14ac:dyDescent="0.2">
      <c r="A12" s="56"/>
      <c r="B12" s="149"/>
      <c r="C12" s="52"/>
      <c r="D12" s="52"/>
      <c r="E12" s="52"/>
      <c r="F12" s="52"/>
      <c r="G12" s="52"/>
      <c r="H12" s="52"/>
      <c r="I12" s="52"/>
      <c r="J12" s="52"/>
      <c r="K12" s="52"/>
      <c r="L12" s="52"/>
      <c r="M12" s="52"/>
      <c r="N12" s="52"/>
      <c r="O12" s="52"/>
      <c r="P12" s="52"/>
      <c r="Q12" s="52"/>
      <c r="R12" s="57"/>
      <c r="S12" s="1"/>
      <c r="T12" s="1"/>
      <c r="U12" s="1"/>
    </row>
    <row r="13" spans="1:21" s="33" customFormat="1" ht="7.5" customHeight="1" x14ac:dyDescent="0.2">
      <c r="A13" s="34"/>
      <c r="B13" s="35"/>
      <c r="C13" s="35"/>
      <c r="D13" s="35"/>
      <c r="E13" s="35"/>
      <c r="F13" s="35"/>
      <c r="G13" s="35"/>
      <c r="H13" s="35"/>
      <c r="I13" s="35"/>
      <c r="J13" s="35"/>
      <c r="K13" s="35"/>
      <c r="L13" s="35"/>
      <c r="M13" s="35"/>
      <c r="N13" s="35"/>
      <c r="O13" s="35"/>
      <c r="P13" s="35"/>
      <c r="Q13" s="35"/>
      <c r="R13" s="58"/>
      <c r="S13" s="1"/>
      <c r="T13" s="1"/>
      <c r="U13" s="1"/>
    </row>
    <row r="14" spans="1:21" s="33" customFormat="1" ht="15" customHeight="1" x14ac:dyDescent="0.2">
      <c r="A14" s="150"/>
      <c r="B14" s="151"/>
      <c r="C14" s="151"/>
      <c r="D14" s="151"/>
      <c r="E14" s="151"/>
      <c r="F14" s="151"/>
      <c r="G14" s="151"/>
      <c r="H14" s="151"/>
      <c r="I14" s="151"/>
      <c r="J14" s="151"/>
      <c r="K14" s="151"/>
      <c r="L14" s="151"/>
      <c r="M14" s="151"/>
      <c r="N14" s="151"/>
      <c r="O14" s="151"/>
      <c r="P14" s="151"/>
      <c r="Q14" s="151"/>
      <c r="R14" s="152"/>
      <c r="S14" s="1"/>
      <c r="T14" s="1"/>
      <c r="U14" s="1"/>
    </row>
    <row r="15" spans="1:21" s="33" customFormat="1" ht="15" customHeight="1" x14ac:dyDescent="0.25">
      <c r="A15" s="120" t="str">
        <f ca="1">OFFSET(IF($D$5=TRUE,FORM!C33,FORM!B33),,)</f>
        <v>GENERAL INFORMATION</v>
      </c>
      <c r="B15" s="116"/>
      <c r="C15" s="116"/>
      <c r="D15" s="116"/>
      <c r="E15" s="116"/>
      <c r="F15" s="116"/>
      <c r="G15" s="116"/>
      <c r="H15" s="116"/>
      <c r="I15" s="116"/>
      <c r="J15" s="116"/>
      <c r="K15" s="116"/>
      <c r="L15" s="116"/>
      <c r="M15" s="116"/>
      <c r="N15" s="116"/>
      <c r="O15" s="116"/>
      <c r="P15" s="116"/>
      <c r="Q15" s="116"/>
      <c r="R15" s="121"/>
      <c r="S15" s="1"/>
      <c r="T15" s="1"/>
      <c r="U15" s="1"/>
    </row>
    <row r="16" spans="1:21" s="33" customFormat="1" ht="15" customHeight="1" x14ac:dyDescent="0.2">
      <c r="A16" s="59" t="str">
        <f ca="1">OFFSET(IF($D$5=TRUE,FORM!C4,FORM!B4),,)</f>
        <v>REPORTING COUNTRY</v>
      </c>
      <c r="B16" s="52"/>
      <c r="C16" s="201"/>
      <c r="D16" s="202"/>
      <c r="E16" s="203"/>
      <c r="F16" s="55"/>
      <c r="G16" s="55"/>
      <c r="H16" s="55"/>
      <c r="I16" s="55"/>
      <c r="J16" s="55"/>
      <c r="K16" s="178" t="str">
        <f ca="1">OFFSET(IF($D$5=TRUE,FORM!C6,FORM!B6),,)</f>
        <v>YEAR</v>
      </c>
      <c r="L16" s="197"/>
      <c r="M16" s="198"/>
      <c r="N16" s="54"/>
      <c r="O16" s="54"/>
      <c r="P16" s="54"/>
      <c r="Q16" s="55"/>
      <c r="R16" s="60"/>
      <c r="S16" s="1"/>
      <c r="T16" s="1"/>
      <c r="U16" s="1"/>
    </row>
    <row r="17" spans="1:23" s="33" customFormat="1" ht="15" customHeight="1" x14ac:dyDescent="0.2">
      <c r="A17" s="59" t="str">
        <f ca="1">OFFSET(IF($D$5=TRUE,FORM!C5,FORM!B5),,)</f>
        <v>FLAG COUNTRY</v>
      </c>
      <c r="B17" s="52"/>
      <c r="C17" s="201"/>
      <c r="D17" s="202"/>
      <c r="E17" s="203"/>
      <c r="F17" s="55"/>
      <c r="G17" s="55"/>
      <c r="H17" s="55"/>
      <c r="I17" s="55"/>
      <c r="J17" s="55"/>
      <c r="K17" s="178"/>
      <c r="L17" s="199"/>
      <c r="M17" s="200"/>
      <c r="N17" s="54"/>
      <c r="O17" s="54"/>
      <c r="P17" s="54"/>
      <c r="Q17" s="55"/>
      <c r="R17" s="60"/>
      <c r="S17" s="1"/>
      <c r="T17" s="1"/>
      <c r="U17" s="1"/>
    </row>
    <row r="18" spans="1:23" s="33" customFormat="1" ht="15" customHeight="1" x14ac:dyDescent="0.2">
      <c r="A18" s="59" t="str">
        <f ca="1">OFFSET(IF($D$5=TRUE,FORM!C34,FORM!B34),,)</f>
        <v>OCEAN</v>
      </c>
      <c r="B18" s="55"/>
      <c r="C18" s="210"/>
      <c r="D18" s="211"/>
      <c r="E18" s="55"/>
      <c r="F18" s="55"/>
      <c r="G18" s="55"/>
      <c r="H18" s="55"/>
      <c r="I18" s="55"/>
      <c r="J18" s="55"/>
      <c r="K18" s="52"/>
      <c r="L18" s="55"/>
      <c r="M18" s="55"/>
      <c r="N18" s="55"/>
      <c r="O18" s="55"/>
      <c r="P18" s="55"/>
      <c r="Q18" s="55"/>
      <c r="R18" s="60"/>
      <c r="S18" s="1"/>
      <c r="T18" s="1"/>
      <c r="U18" s="1"/>
    </row>
    <row r="19" spans="1:23" s="33" customFormat="1" ht="15" customHeight="1" x14ac:dyDescent="0.2">
      <c r="A19" s="59"/>
      <c r="B19" s="55"/>
      <c r="C19" s="55"/>
      <c r="D19" s="55"/>
      <c r="E19" s="55"/>
      <c r="F19" s="55"/>
      <c r="G19" s="55"/>
      <c r="H19" s="55"/>
      <c r="I19" s="55"/>
      <c r="J19" s="55"/>
      <c r="K19" s="52"/>
      <c r="L19" s="55"/>
      <c r="M19" s="54"/>
      <c r="N19" s="54"/>
      <c r="O19" s="54"/>
      <c r="P19" s="54"/>
      <c r="Q19" s="54"/>
      <c r="R19" s="153"/>
      <c r="S19" s="1"/>
      <c r="T19" s="1"/>
      <c r="U19" s="1"/>
    </row>
    <row r="20" spans="1:23" s="33" customFormat="1" ht="15" customHeight="1" x14ac:dyDescent="0.2">
      <c r="A20" s="59"/>
      <c r="B20" s="190" t="str">
        <f ca="1">OFFSET(IF($D$5=TRUE,FORM!C17,FORM!B17),,)</f>
        <v>PRODUCT PRICING LOCATION</v>
      </c>
      <c r="C20" s="190"/>
      <c r="D20" s="213"/>
      <c r="E20" s="214"/>
      <c r="F20" s="117" t="str">
        <f ca="1">OFFSET(IF($D$5=TRUE,FORM!C12,FORM!B12),,)</f>
        <v>CURRENCY</v>
      </c>
      <c r="G20" s="107"/>
      <c r="H20" s="190" t="str">
        <f ca="1">OFFSET(IF($D$5=TRUE,FORM!C16,FORM!B16),,)</f>
        <v>PRODUCT DESTINATION</v>
      </c>
      <c r="I20" s="190"/>
      <c r="J20" s="213"/>
      <c r="K20" s="214"/>
      <c r="L20" s="190" t="str">
        <f ca="1">OFFSET(IF($D$5=TRUE,FORM!C21,FORM!B21),,)</f>
        <v>DESTINATION MARKET</v>
      </c>
      <c r="M20" s="190"/>
      <c r="N20" s="179"/>
      <c r="O20" s="180"/>
      <c r="P20" s="180"/>
      <c r="Q20" s="181"/>
      <c r="R20" s="153"/>
      <c r="S20" s="1"/>
      <c r="T20" s="1"/>
      <c r="U20" s="1"/>
      <c r="V20" s="154"/>
    </row>
    <row r="21" spans="1:23" s="33" customFormat="1" ht="15" customHeight="1" x14ac:dyDescent="0.2">
      <c r="A21" s="59"/>
      <c r="B21" s="55"/>
      <c r="C21" s="55"/>
      <c r="D21" s="55"/>
      <c r="E21" s="55"/>
      <c r="F21" s="55"/>
      <c r="G21" s="55"/>
      <c r="H21" s="55"/>
      <c r="I21" s="55"/>
      <c r="J21" s="55"/>
      <c r="K21" s="52"/>
      <c r="L21" s="55"/>
      <c r="M21" s="54"/>
      <c r="N21" s="54"/>
      <c r="O21" s="54"/>
      <c r="P21" s="54"/>
      <c r="Q21" s="54"/>
      <c r="R21" s="153"/>
      <c r="S21" s="1"/>
      <c r="T21" s="1"/>
      <c r="U21" s="1"/>
    </row>
    <row r="22" spans="1:23" s="36" customFormat="1" ht="7.5" customHeight="1" x14ac:dyDescent="0.2">
      <c r="A22" s="122"/>
      <c r="B22" s="123"/>
      <c r="C22" s="123"/>
      <c r="D22" s="123"/>
      <c r="E22" s="123"/>
      <c r="F22" s="123"/>
      <c r="G22" s="123"/>
      <c r="H22" s="123"/>
      <c r="I22" s="123"/>
      <c r="J22" s="123"/>
      <c r="K22" s="123"/>
      <c r="L22" s="123"/>
      <c r="M22" s="123"/>
      <c r="N22" s="123"/>
      <c r="O22" s="123"/>
      <c r="P22" s="123"/>
      <c r="Q22" s="123"/>
      <c r="R22" s="124"/>
      <c r="S22" s="1"/>
      <c r="T22" s="1"/>
      <c r="U22" s="1"/>
    </row>
    <row r="23" spans="1:23" s="33" customFormat="1" ht="25.5" customHeight="1" x14ac:dyDescent="0.2">
      <c r="A23" s="195" t="str">
        <f ca="1">OFFSET(IF($D$5=TRUE,FORM!C8,FORM!B8),,)</f>
        <v>COMMENTS</v>
      </c>
      <c r="B23" s="204"/>
      <c r="C23" s="205"/>
      <c r="D23" s="205"/>
      <c r="E23" s="205"/>
      <c r="F23" s="205"/>
      <c r="G23" s="205"/>
      <c r="H23" s="205"/>
      <c r="I23" s="205"/>
      <c r="J23" s="205"/>
      <c r="K23" s="205"/>
      <c r="L23" s="205"/>
      <c r="M23" s="205"/>
      <c r="N23" s="205"/>
      <c r="O23" s="205"/>
      <c r="P23" s="205"/>
      <c r="Q23" s="206"/>
      <c r="R23" s="61"/>
      <c r="S23" s="1"/>
      <c r="T23" s="1"/>
      <c r="U23" s="1"/>
    </row>
    <row r="24" spans="1:23" s="33" customFormat="1" ht="25.5" customHeight="1" x14ac:dyDescent="0.2">
      <c r="A24" s="196"/>
      <c r="B24" s="207"/>
      <c r="C24" s="208"/>
      <c r="D24" s="208"/>
      <c r="E24" s="208"/>
      <c r="F24" s="208"/>
      <c r="G24" s="208"/>
      <c r="H24" s="208"/>
      <c r="I24" s="208"/>
      <c r="J24" s="208"/>
      <c r="K24" s="208"/>
      <c r="L24" s="208"/>
      <c r="M24" s="208"/>
      <c r="N24" s="208"/>
      <c r="O24" s="208"/>
      <c r="P24" s="208"/>
      <c r="Q24" s="209"/>
      <c r="R24" s="61"/>
      <c r="S24" s="1"/>
      <c r="T24" s="1"/>
      <c r="U24" s="1"/>
    </row>
    <row r="25" spans="1:23" s="33" customFormat="1" ht="7.5" customHeight="1" x14ac:dyDescent="0.2">
      <c r="A25" s="34"/>
      <c r="B25" s="35"/>
      <c r="C25" s="35"/>
      <c r="D25" s="35"/>
      <c r="E25" s="35"/>
      <c r="F25" s="35"/>
      <c r="G25" s="35"/>
      <c r="H25" s="35"/>
      <c r="I25" s="35"/>
      <c r="J25" s="35"/>
      <c r="K25" s="35"/>
      <c r="L25" s="35"/>
      <c r="M25" s="35"/>
      <c r="N25" s="35"/>
      <c r="O25" s="35"/>
      <c r="P25" s="35"/>
      <c r="Q25" s="35"/>
      <c r="R25" s="58"/>
      <c r="S25" s="1"/>
      <c r="T25" s="1"/>
      <c r="U25" s="1"/>
    </row>
    <row r="26" spans="1:23" s="33" customFormat="1" ht="12.75" customHeight="1" x14ac:dyDescent="0.2">
      <c r="A26" s="212" t="s">
        <v>1002</v>
      </c>
      <c r="B26" s="212"/>
      <c r="C26" s="171" t="str">
        <f ca="1">OFFSET(IF($D$5=TRUE,FORM!C18,FORM!B18),,)</f>
        <v>SPECIES</v>
      </c>
      <c r="D26" s="171"/>
      <c r="E26" s="172" t="str">
        <f ca="1">OFFSET(IF($D$5=TRUE,FORM!C15,FORM!B15),,)</f>
        <v>FISH PROCESSING</v>
      </c>
      <c r="F26" s="172" t="str">
        <f ca="1">OFFSET(IF($D$5=TRUE,FORM!C9,FORM!B9),,)</f>
        <v>TYPE OF PRODUCT</v>
      </c>
      <c r="G26" s="172" t="str">
        <f ca="1">OFFSET(IF($D$5=TRUE,FORM!C14,FORM!B14),,)</f>
        <v>FISH PERSERVATION</v>
      </c>
      <c r="H26" s="172" t="str">
        <f ca="1">OFFSET(IF($D$5=TRUE,FORM!C7,FORM!B7),,)</f>
        <v>WEIGHT UNITS</v>
      </c>
      <c r="I26" s="172" t="str">
        <f ca="1">OFFSET(IF($D$5=TRUE,FORM!C11,FORM!B11),,)</f>
        <v>SIZE CATEGORY</v>
      </c>
      <c r="J26" s="172"/>
      <c r="K26" s="172" t="str">
        <f ca="1">OFFSET(IF($D$5=TRUE,FORM!C23,FORM!B23),,)</f>
        <v>PRICE</v>
      </c>
      <c r="L26" s="171" t="str">
        <f ca="1">OFFSET(IF($D$5=TRUE,FORM!C24,FORM!B24),,)</f>
        <v>COMMENTS ON SPECIFIC PRODUCT</v>
      </c>
      <c r="M26" s="171"/>
      <c r="N26" s="171"/>
      <c r="O26" s="171"/>
      <c r="P26" s="171"/>
      <c r="Q26" s="35"/>
      <c r="R26" s="58"/>
      <c r="S26" s="1"/>
      <c r="T26" s="1"/>
      <c r="U26" s="1"/>
      <c r="V26" s="1"/>
      <c r="W26" s="1"/>
    </row>
    <row r="27" spans="1:23" s="33" customFormat="1" x14ac:dyDescent="0.2">
      <c r="A27" s="212"/>
      <c r="B27" s="212"/>
      <c r="C27" s="171"/>
      <c r="D27" s="171"/>
      <c r="E27" s="172"/>
      <c r="F27" s="172"/>
      <c r="G27" s="172"/>
      <c r="H27" s="172"/>
      <c r="I27" s="172"/>
      <c r="J27" s="172"/>
      <c r="K27" s="172"/>
      <c r="L27" s="171"/>
      <c r="M27" s="171"/>
      <c r="N27" s="171"/>
      <c r="O27" s="171"/>
      <c r="P27" s="171"/>
      <c r="Q27" s="35"/>
      <c r="R27" s="58"/>
      <c r="S27" s="1"/>
      <c r="T27" s="1"/>
      <c r="U27" s="1"/>
      <c r="V27" s="1"/>
      <c r="W27" s="1"/>
    </row>
    <row r="28" spans="1:23" s="33" customFormat="1" x14ac:dyDescent="0.2">
      <c r="A28" s="103" t="str">
        <f ca="1">OFFSET(IF($D$5=TRUE,FORM!C35,FORM!B35),,)</f>
        <v>FROM</v>
      </c>
      <c r="B28" s="103" t="str">
        <f ca="1">OFFSET(IF($D$5=TRUE,FORM!C36,FORM!B36),,)</f>
        <v>TO</v>
      </c>
      <c r="C28" s="171"/>
      <c r="D28" s="171"/>
      <c r="E28" s="172"/>
      <c r="F28" s="172"/>
      <c r="G28" s="172"/>
      <c r="H28" s="172"/>
      <c r="I28" s="172"/>
      <c r="J28" s="172"/>
      <c r="K28" s="172"/>
      <c r="L28" s="171"/>
      <c r="M28" s="171"/>
      <c r="N28" s="171"/>
      <c r="O28" s="171"/>
      <c r="P28" s="171"/>
      <c r="Q28" s="35"/>
      <c r="R28" s="58"/>
      <c r="S28" s="1"/>
      <c r="T28" s="1"/>
    </row>
    <row r="29" spans="1:23" s="33" customFormat="1" x14ac:dyDescent="0.2">
      <c r="A29" s="108"/>
      <c r="B29" s="109"/>
      <c r="C29" s="168"/>
      <c r="D29" s="169"/>
      <c r="E29" s="125"/>
      <c r="F29" s="126"/>
      <c r="G29" s="127"/>
      <c r="H29" s="137"/>
      <c r="I29" s="184"/>
      <c r="J29" s="184"/>
      <c r="K29" s="141"/>
      <c r="L29" s="170"/>
      <c r="M29" s="170"/>
      <c r="N29" s="170"/>
      <c r="O29" s="170"/>
      <c r="P29" s="170"/>
      <c r="Q29" s="35"/>
      <c r="R29" s="58"/>
      <c r="S29" s="1"/>
      <c r="T29" s="1"/>
    </row>
    <row r="30" spans="1:23" s="33" customFormat="1" x14ac:dyDescent="0.2">
      <c r="A30" s="110"/>
      <c r="B30" s="111"/>
      <c r="C30" s="168"/>
      <c r="D30" s="169"/>
      <c r="E30" s="128"/>
      <c r="F30" s="129"/>
      <c r="G30" s="130"/>
      <c r="H30" s="138"/>
      <c r="I30" s="182"/>
      <c r="J30" s="182"/>
      <c r="K30" s="142"/>
      <c r="L30" s="173"/>
      <c r="M30" s="173"/>
      <c r="N30" s="173"/>
      <c r="O30" s="173"/>
      <c r="P30" s="173"/>
      <c r="Q30" s="35"/>
      <c r="R30" s="58"/>
      <c r="S30" s="1"/>
      <c r="T30" s="1"/>
    </row>
    <row r="31" spans="1:23" s="33" customFormat="1" x14ac:dyDescent="0.2">
      <c r="A31" s="110"/>
      <c r="B31" s="111"/>
      <c r="C31" s="168"/>
      <c r="D31" s="169"/>
      <c r="E31" s="128"/>
      <c r="F31" s="129"/>
      <c r="G31" s="130"/>
      <c r="H31" s="138"/>
      <c r="I31" s="182"/>
      <c r="J31" s="182"/>
      <c r="K31" s="142"/>
      <c r="L31" s="173"/>
      <c r="M31" s="173"/>
      <c r="N31" s="173"/>
      <c r="O31" s="173"/>
      <c r="P31" s="173"/>
      <c r="Q31" s="35"/>
      <c r="R31" s="58"/>
      <c r="S31" s="1"/>
      <c r="T31" s="1"/>
    </row>
    <row r="32" spans="1:23" s="33" customFormat="1" ht="12.75" customHeight="1" x14ac:dyDescent="0.2">
      <c r="A32" s="110"/>
      <c r="B32" s="111"/>
      <c r="C32" s="168"/>
      <c r="D32" s="169"/>
      <c r="E32" s="128"/>
      <c r="F32" s="129"/>
      <c r="G32" s="130"/>
      <c r="H32" s="138"/>
      <c r="I32" s="182"/>
      <c r="J32" s="182"/>
      <c r="K32" s="142"/>
      <c r="L32" s="173"/>
      <c r="M32" s="173"/>
      <c r="N32" s="173"/>
      <c r="O32" s="173"/>
      <c r="P32" s="173"/>
      <c r="Q32" s="35"/>
      <c r="R32" s="58"/>
      <c r="S32" s="1"/>
      <c r="T32" s="1"/>
    </row>
    <row r="33" spans="1:20" s="33" customFormat="1" x14ac:dyDescent="0.2">
      <c r="A33" s="110"/>
      <c r="B33" s="111"/>
      <c r="C33" s="168"/>
      <c r="D33" s="169"/>
      <c r="E33" s="128"/>
      <c r="F33" s="129"/>
      <c r="G33" s="130"/>
      <c r="H33" s="138"/>
      <c r="I33" s="182"/>
      <c r="J33" s="182"/>
      <c r="K33" s="142"/>
      <c r="L33" s="173"/>
      <c r="M33" s="173"/>
      <c r="N33" s="173"/>
      <c r="O33" s="173"/>
      <c r="P33" s="173"/>
      <c r="Q33" s="35"/>
      <c r="R33" s="58"/>
      <c r="S33" s="1"/>
      <c r="T33" s="1"/>
    </row>
    <row r="34" spans="1:20" s="33" customFormat="1" x14ac:dyDescent="0.2">
      <c r="A34" s="110"/>
      <c r="B34" s="111"/>
      <c r="C34" s="168"/>
      <c r="D34" s="169"/>
      <c r="E34" s="128"/>
      <c r="F34" s="129"/>
      <c r="G34" s="130"/>
      <c r="H34" s="138"/>
      <c r="I34" s="182"/>
      <c r="J34" s="182"/>
      <c r="K34" s="142"/>
      <c r="L34" s="173"/>
      <c r="M34" s="173"/>
      <c r="N34" s="173"/>
      <c r="O34" s="173"/>
      <c r="P34" s="173"/>
      <c r="Q34" s="35"/>
      <c r="R34" s="58"/>
      <c r="S34" s="1"/>
      <c r="T34" s="1"/>
    </row>
    <row r="35" spans="1:20" s="33" customFormat="1" x14ac:dyDescent="0.2">
      <c r="A35" s="110"/>
      <c r="B35" s="111"/>
      <c r="C35" s="168"/>
      <c r="D35" s="169"/>
      <c r="E35" s="128"/>
      <c r="F35" s="129"/>
      <c r="G35" s="130"/>
      <c r="H35" s="138"/>
      <c r="I35" s="182"/>
      <c r="J35" s="182"/>
      <c r="K35" s="142"/>
      <c r="L35" s="173"/>
      <c r="M35" s="173"/>
      <c r="N35" s="173"/>
      <c r="O35" s="173"/>
      <c r="P35" s="173"/>
      <c r="Q35" s="35"/>
      <c r="R35" s="58"/>
      <c r="S35" s="1"/>
      <c r="T35" s="1"/>
    </row>
    <row r="36" spans="1:20" s="33" customFormat="1" x14ac:dyDescent="0.2">
      <c r="A36" s="110"/>
      <c r="B36" s="111"/>
      <c r="C36" s="168"/>
      <c r="D36" s="169"/>
      <c r="E36" s="128"/>
      <c r="F36" s="129"/>
      <c r="G36" s="130"/>
      <c r="H36" s="138"/>
      <c r="I36" s="182"/>
      <c r="J36" s="182"/>
      <c r="K36" s="142"/>
      <c r="L36" s="173"/>
      <c r="M36" s="173"/>
      <c r="N36" s="173"/>
      <c r="O36" s="173"/>
      <c r="P36" s="173"/>
      <c r="Q36" s="35"/>
      <c r="R36" s="58"/>
      <c r="S36" s="1"/>
      <c r="T36" s="1"/>
    </row>
    <row r="37" spans="1:20" s="33" customFormat="1" x14ac:dyDescent="0.2">
      <c r="A37" s="110"/>
      <c r="B37" s="111"/>
      <c r="C37" s="168"/>
      <c r="D37" s="169"/>
      <c r="E37" s="128"/>
      <c r="F37" s="129"/>
      <c r="G37" s="130"/>
      <c r="H37" s="138"/>
      <c r="I37" s="182"/>
      <c r="J37" s="182"/>
      <c r="K37" s="142"/>
      <c r="L37" s="173"/>
      <c r="M37" s="173"/>
      <c r="N37" s="173"/>
      <c r="O37" s="173"/>
      <c r="P37" s="173"/>
      <c r="Q37" s="35"/>
      <c r="R37" s="58"/>
      <c r="S37" s="1"/>
      <c r="T37" s="1"/>
    </row>
    <row r="38" spans="1:20" s="33" customFormat="1" x14ac:dyDescent="0.2">
      <c r="A38" s="110"/>
      <c r="B38" s="111"/>
      <c r="C38" s="168"/>
      <c r="D38" s="169"/>
      <c r="E38" s="128"/>
      <c r="F38" s="129"/>
      <c r="G38" s="130"/>
      <c r="H38" s="138"/>
      <c r="I38" s="182"/>
      <c r="J38" s="182"/>
      <c r="K38" s="142"/>
      <c r="L38" s="173"/>
      <c r="M38" s="173"/>
      <c r="N38" s="173"/>
      <c r="O38" s="173"/>
      <c r="P38" s="173"/>
      <c r="Q38" s="35"/>
      <c r="R38" s="58"/>
      <c r="S38" s="1"/>
      <c r="T38" s="1"/>
    </row>
    <row r="39" spans="1:20" s="33" customFormat="1" x14ac:dyDescent="0.2">
      <c r="A39" s="110"/>
      <c r="B39" s="111"/>
      <c r="C39" s="168"/>
      <c r="D39" s="169"/>
      <c r="E39" s="128"/>
      <c r="F39" s="129"/>
      <c r="G39" s="130"/>
      <c r="H39" s="138"/>
      <c r="I39" s="182"/>
      <c r="J39" s="182"/>
      <c r="K39" s="142"/>
      <c r="L39" s="173"/>
      <c r="M39" s="173"/>
      <c r="N39" s="173"/>
      <c r="O39" s="173"/>
      <c r="P39" s="173"/>
      <c r="Q39" s="35"/>
      <c r="R39" s="58"/>
      <c r="S39" s="1"/>
      <c r="T39" s="1"/>
    </row>
    <row r="40" spans="1:20" s="33" customFormat="1" x14ac:dyDescent="0.2">
      <c r="A40" s="110"/>
      <c r="B40" s="111"/>
      <c r="C40" s="168"/>
      <c r="D40" s="169"/>
      <c r="E40" s="128"/>
      <c r="F40" s="129"/>
      <c r="G40" s="130"/>
      <c r="H40" s="138"/>
      <c r="I40" s="182"/>
      <c r="J40" s="182"/>
      <c r="K40" s="142"/>
      <c r="L40" s="173"/>
      <c r="M40" s="173"/>
      <c r="N40" s="173"/>
      <c r="O40" s="173"/>
      <c r="P40" s="173"/>
      <c r="Q40" s="35"/>
      <c r="R40" s="58"/>
      <c r="S40" s="1"/>
      <c r="T40" s="1"/>
    </row>
    <row r="41" spans="1:20" s="33" customFormat="1" x14ac:dyDescent="0.2">
      <c r="A41" s="110"/>
      <c r="B41" s="111"/>
      <c r="C41" s="168"/>
      <c r="D41" s="169"/>
      <c r="E41" s="128"/>
      <c r="F41" s="129"/>
      <c r="G41" s="130"/>
      <c r="H41" s="138"/>
      <c r="I41" s="182"/>
      <c r="J41" s="182"/>
      <c r="K41" s="142"/>
      <c r="L41" s="173"/>
      <c r="M41" s="173"/>
      <c r="N41" s="173"/>
      <c r="O41" s="173"/>
      <c r="P41" s="173"/>
      <c r="Q41" s="35"/>
      <c r="R41" s="58"/>
      <c r="S41" s="1"/>
      <c r="T41" s="1"/>
    </row>
    <row r="42" spans="1:20" s="33" customFormat="1" x14ac:dyDescent="0.2">
      <c r="A42" s="110"/>
      <c r="B42" s="111"/>
      <c r="C42" s="168"/>
      <c r="D42" s="169"/>
      <c r="E42" s="128"/>
      <c r="F42" s="129"/>
      <c r="G42" s="130"/>
      <c r="H42" s="138"/>
      <c r="I42" s="182"/>
      <c r="J42" s="182"/>
      <c r="K42" s="142"/>
      <c r="L42" s="173"/>
      <c r="M42" s="173"/>
      <c r="N42" s="173"/>
      <c r="O42" s="173"/>
      <c r="P42" s="173"/>
      <c r="Q42" s="35"/>
      <c r="R42" s="58"/>
      <c r="S42" s="1"/>
      <c r="T42" s="1"/>
    </row>
    <row r="43" spans="1:20" s="33" customFormat="1" x14ac:dyDescent="0.2">
      <c r="A43" s="110"/>
      <c r="B43" s="111"/>
      <c r="C43" s="168"/>
      <c r="D43" s="169"/>
      <c r="E43" s="128"/>
      <c r="F43" s="129"/>
      <c r="G43" s="130"/>
      <c r="H43" s="138"/>
      <c r="I43" s="182"/>
      <c r="J43" s="182"/>
      <c r="K43" s="142"/>
      <c r="L43" s="173"/>
      <c r="M43" s="173"/>
      <c r="N43" s="173"/>
      <c r="O43" s="173"/>
      <c r="P43" s="173"/>
      <c r="Q43" s="35"/>
      <c r="R43" s="58"/>
      <c r="S43" s="1"/>
      <c r="T43" s="1"/>
    </row>
    <row r="44" spans="1:20" s="33" customFormat="1" x14ac:dyDescent="0.2">
      <c r="A44" s="110"/>
      <c r="B44" s="111"/>
      <c r="C44" s="168"/>
      <c r="D44" s="169"/>
      <c r="E44" s="128"/>
      <c r="F44" s="129"/>
      <c r="G44" s="130"/>
      <c r="H44" s="138"/>
      <c r="I44" s="182"/>
      <c r="J44" s="182"/>
      <c r="K44" s="142"/>
      <c r="L44" s="173"/>
      <c r="M44" s="173"/>
      <c r="N44" s="173"/>
      <c r="O44" s="173"/>
      <c r="P44" s="173"/>
      <c r="Q44" s="35"/>
      <c r="R44" s="58"/>
      <c r="S44" s="1"/>
      <c r="T44" s="1"/>
    </row>
    <row r="45" spans="1:20" s="33" customFormat="1" x14ac:dyDescent="0.2">
      <c r="A45" s="110"/>
      <c r="B45" s="111"/>
      <c r="C45" s="168"/>
      <c r="D45" s="169"/>
      <c r="E45" s="128"/>
      <c r="F45" s="129"/>
      <c r="G45" s="130"/>
      <c r="H45" s="138"/>
      <c r="I45" s="182"/>
      <c r="J45" s="182"/>
      <c r="K45" s="142"/>
      <c r="L45" s="173"/>
      <c r="M45" s="173"/>
      <c r="N45" s="173"/>
      <c r="O45" s="173"/>
      <c r="P45" s="173"/>
      <c r="Q45" s="35"/>
      <c r="R45" s="58"/>
      <c r="S45" s="1"/>
      <c r="T45" s="1"/>
    </row>
    <row r="46" spans="1:20" s="33" customFormat="1" x14ac:dyDescent="0.2">
      <c r="A46" s="110"/>
      <c r="B46" s="111"/>
      <c r="C46" s="168"/>
      <c r="D46" s="169"/>
      <c r="E46" s="128"/>
      <c r="F46" s="129"/>
      <c r="G46" s="130"/>
      <c r="H46" s="138"/>
      <c r="I46" s="182"/>
      <c r="J46" s="182"/>
      <c r="K46" s="142"/>
      <c r="L46" s="173"/>
      <c r="M46" s="173"/>
      <c r="N46" s="173"/>
      <c r="O46" s="173"/>
      <c r="P46" s="173"/>
      <c r="Q46" s="35"/>
      <c r="R46" s="58"/>
      <c r="S46" s="1"/>
      <c r="T46" s="1"/>
    </row>
    <row r="47" spans="1:20" s="33" customFormat="1" x14ac:dyDescent="0.2">
      <c r="A47" s="110"/>
      <c r="B47" s="111"/>
      <c r="C47" s="168"/>
      <c r="D47" s="169"/>
      <c r="E47" s="128"/>
      <c r="F47" s="129"/>
      <c r="G47" s="130"/>
      <c r="H47" s="138"/>
      <c r="I47" s="182"/>
      <c r="J47" s="182"/>
      <c r="K47" s="142"/>
      <c r="L47" s="173"/>
      <c r="M47" s="173"/>
      <c r="N47" s="173"/>
      <c r="O47" s="173"/>
      <c r="P47" s="173"/>
      <c r="Q47" s="35"/>
      <c r="R47" s="58"/>
      <c r="S47" s="1"/>
      <c r="T47" s="1"/>
    </row>
    <row r="48" spans="1:20" s="33" customFormat="1" x14ac:dyDescent="0.2">
      <c r="A48" s="110"/>
      <c r="B48" s="111"/>
      <c r="C48" s="168"/>
      <c r="D48" s="169"/>
      <c r="E48" s="128"/>
      <c r="F48" s="129"/>
      <c r="G48" s="130"/>
      <c r="H48" s="138"/>
      <c r="I48" s="182"/>
      <c r="J48" s="182"/>
      <c r="K48" s="142"/>
      <c r="L48" s="173"/>
      <c r="M48" s="173"/>
      <c r="N48" s="173"/>
      <c r="O48" s="173"/>
      <c r="P48" s="173"/>
      <c r="Q48" s="35"/>
      <c r="R48" s="58"/>
      <c r="S48" s="1"/>
      <c r="T48" s="1"/>
    </row>
    <row r="49" spans="1:20" s="33" customFormat="1" x14ac:dyDescent="0.2">
      <c r="A49" s="110"/>
      <c r="B49" s="111"/>
      <c r="C49" s="168"/>
      <c r="D49" s="169"/>
      <c r="E49" s="128"/>
      <c r="F49" s="129"/>
      <c r="G49" s="130"/>
      <c r="H49" s="138"/>
      <c r="I49" s="182"/>
      <c r="J49" s="182"/>
      <c r="K49" s="142"/>
      <c r="L49" s="173"/>
      <c r="M49" s="173"/>
      <c r="N49" s="173"/>
      <c r="O49" s="173"/>
      <c r="P49" s="173"/>
      <c r="Q49" s="35"/>
      <c r="R49" s="58"/>
      <c r="S49" s="1"/>
      <c r="T49" s="1"/>
    </row>
    <row r="50" spans="1:20" s="33" customFormat="1" x14ac:dyDescent="0.2">
      <c r="A50" s="110"/>
      <c r="B50" s="111"/>
      <c r="C50" s="168"/>
      <c r="D50" s="169"/>
      <c r="E50" s="128"/>
      <c r="F50" s="129"/>
      <c r="G50" s="130"/>
      <c r="H50" s="138"/>
      <c r="I50" s="182"/>
      <c r="J50" s="182"/>
      <c r="K50" s="142"/>
      <c r="L50" s="173"/>
      <c r="M50" s="173"/>
      <c r="N50" s="173"/>
      <c r="O50" s="173"/>
      <c r="P50" s="173"/>
      <c r="Q50" s="35"/>
      <c r="R50" s="58"/>
      <c r="S50" s="1"/>
      <c r="T50" s="1"/>
    </row>
    <row r="51" spans="1:20" s="33" customFormat="1" x14ac:dyDescent="0.2">
      <c r="A51" s="110"/>
      <c r="B51" s="111"/>
      <c r="C51" s="168"/>
      <c r="D51" s="169"/>
      <c r="E51" s="128"/>
      <c r="F51" s="129"/>
      <c r="G51" s="130"/>
      <c r="H51" s="138"/>
      <c r="I51" s="182"/>
      <c r="J51" s="182"/>
      <c r="K51" s="142"/>
      <c r="L51" s="173"/>
      <c r="M51" s="173"/>
      <c r="N51" s="173"/>
      <c r="O51" s="173"/>
      <c r="P51" s="173"/>
      <c r="Q51" s="35"/>
      <c r="R51" s="58"/>
      <c r="S51" s="1"/>
      <c r="T51" s="1"/>
    </row>
    <row r="52" spans="1:20" s="33" customFormat="1" x14ac:dyDescent="0.2">
      <c r="A52" s="110"/>
      <c r="B52" s="111"/>
      <c r="C52" s="168"/>
      <c r="D52" s="169"/>
      <c r="E52" s="128"/>
      <c r="F52" s="129"/>
      <c r="G52" s="130"/>
      <c r="H52" s="138"/>
      <c r="I52" s="182"/>
      <c r="J52" s="182"/>
      <c r="K52" s="142"/>
      <c r="L52" s="173"/>
      <c r="M52" s="173"/>
      <c r="N52" s="173"/>
      <c r="O52" s="173"/>
      <c r="P52" s="173"/>
      <c r="Q52" s="35"/>
      <c r="R52" s="58"/>
      <c r="S52" s="1"/>
      <c r="T52" s="1"/>
    </row>
    <row r="53" spans="1:20" s="33" customFormat="1" x14ac:dyDescent="0.2">
      <c r="A53" s="110"/>
      <c r="B53" s="111"/>
      <c r="C53" s="168"/>
      <c r="D53" s="169"/>
      <c r="E53" s="128"/>
      <c r="F53" s="129"/>
      <c r="G53" s="130"/>
      <c r="H53" s="138"/>
      <c r="I53" s="182"/>
      <c r="J53" s="182"/>
      <c r="K53" s="142"/>
      <c r="L53" s="173"/>
      <c r="M53" s="173"/>
      <c r="N53" s="173"/>
      <c r="O53" s="173"/>
      <c r="P53" s="173"/>
      <c r="Q53" s="35"/>
      <c r="R53" s="58"/>
      <c r="S53" s="1"/>
      <c r="T53" s="1"/>
    </row>
    <row r="54" spans="1:20" s="33" customFormat="1" x14ac:dyDescent="0.2">
      <c r="A54" s="110"/>
      <c r="B54" s="111"/>
      <c r="C54" s="168"/>
      <c r="D54" s="169"/>
      <c r="E54" s="128"/>
      <c r="F54" s="129"/>
      <c r="G54" s="130"/>
      <c r="H54" s="138"/>
      <c r="I54" s="182"/>
      <c r="J54" s="182"/>
      <c r="K54" s="142"/>
      <c r="L54" s="173"/>
      <c r="M54" s="173"/>
      <c r="N54" s="173"/>
      <c r="O54" s="173"/>
      <c r="P54" s="173"/>
      <c r="Q54" s="35"/>
      <c r="R54" s="58"/>
      <c r="S54" s="1"/>
      <c r="T54" s="1"/>
    </row>
    <row r="55" spans="1:20" s="33" customFormat="1" x14ac:dyDescent="0.2">
      <c r="A55" s="110"/>
      <c r="B55" s="111"/>
      <c r="C55" s="168"/>
      <c r="D55" s="169"/>
      <c r="E55" s="128"/>
      <c r="F55" s="129"/>
      <c r="G55" s="130"/>
      <c r="H55" s="138"/>
      <c r="I55" s="182"/>
      <c r="J55" s="182"/>
      <c r="K55" s="142"/>
      <c r="L55" s="173"/>
      <c r="M55" s="173"/>
      <c r="N55" s="173"/>
      <c r="O55" s="173"/>
      <c r="P55" s="173"/>
      <c r="Q55" s="35"/>
      <c r="R55" s="58"/>
      <c r="S55" s="1"/>
      <c r="T55" s="1"/>
    </row>
    <row r="56" spans="1:20" s="33" customFormat="1" x14ac:dyDescent="0.2">
      <c r="A56" s="110"/>
      <c r="B56" s="111"/>
      <c r="C56" s="168"/>
      <c r="D56" s="169"/>
      <c r="E56" s="128"/>
      <c r="F56" s="129"/>
      <c r="G56" s="130"/>
      <c r="H56" s="138"/>
      <c r="I56" s="182"/>
      <c r="J56" s="182"/>
      <c r="K56" s="142"/>
      <c r="L56" s="173"/>
      <c r="M56" s="173"/>
      <c r="N56" s="173"/>
      <c r="O56" s="173"/>
      <c r="P56" s="173"/>
      <c r="Q56" s="35"/>
      <c r="R56" s="58"/>
      <c r="S56" s="1"/>
      <c r="T56" s="1"/>
    </row>
    <row r="57" spans="1:20" s="33" customFormat="1" x14ac:dyDescent="0.2">
      <c r="A57" s="110"/>
      <c r="B57" s="111"/>
      <c r="C57" s="168"/>
      <c r="D57" s="169"/>
      <c r="E57" s="128"/>
      <c r="F57" s="129"/>
      <c r="G57" s="130"/>
      <c r="H57" s="138"/>
      <c r="I57" s="182"/>
      <c r="J57" s="182"/>
      <c r="K57" s="142"/>
      <c r="L57" s="173"/>
      <c r="M57" s="173"/>
      <c r="N57" s="173"/>
      <c r="O57" s="173"/>
      <c r="P57" s="173"/>
      <c r="Q57" s="35"/>
      <c r="R57" s="58"/>
      <c r="S57" s="1"/>
      <c r="T57" s="1"/>
    </row>
    <row r="58" spans="1:20" s="33" customFormat="1" x14ac:dyDescent="0.2">
      <c r="A58" s="110"/>
      <c r="B58" s="111"/>
      <c r="C58" s="168"/>
      <c r="D58" s="169"/>
      <c r="E58" s="128"/>
      <c r="F58" s="129"/>
      <c r="G58" s="130"/>
      <c r="H58" s="138"/>
      <c r="I58" s="182"/>
      <c r="J58" s="182"/>
      <c r="K58" s="142"/>
      <c r="L58" s="173"/>
      <c r="M58" s="173"/>
      <c r="N58" s="173"/>
      <c r="O58" s="173"/>
      <c r="P58" s="173"/>
      <c r="Q58" s="35"/>
      <c r="R58" s="58"/>
      <c r="S58" s="1"/>
      <c r="T58" s="1"/>
    </row>
    <row r="59" spans="1:20" s="33" customFormat="1" x14ac:dyDescent="0.2">
      <c r="A59" s="110"/>
      <c r="B59" s="111"/>
      <c r="C59" s="168"/>
      <c r="D59" s="169"/>
      <c r="E59" s="128"/>
      <c r="F59" s="129"/>
      <c r="G59" s="130"/>
      <c r="H59" s="138"/>
      <c r="I59" s="182"/>
      <c r="J59" s="182"/>
      <c r="K59" s="142"/>
      <c r="L59" s="173"/>
      <c r="M59" s="173"/>
      <c r="N59" s="173"/>
      <c r="O59" s="173"/>
      <c r="P59" s="173"/>
      <c r="Q59" s="35"/>
      <c r="R59" s="58"/>
      <c r="S59" s="1"/>
      <c r="T59" s="1"/>
    </row>
    <row r="60" spans="1:20" s="33" customFormat="1" x14ac:dyDescent="0.2">
      <c r="A60" s="110"/>
      <c r="B60" s="111"/>
      <c r="C60" s="168"/>
      <c r="D60" s="169"/>
      <c r="E60" s="128"/>
      <c r="F60" s="129"/>
      <c r="G60" s="130"/>
      <c r="H60" s="138"/>
      <c r="I60" s="182"/>
      <c r="J60" s="182"/>
      <c r="K60" s="142"/>
      <c r="L60" s="173"/>
      <c r="M60" s="173"/>
      <c r="N60" s="173"/>
      <c r="O60" s="173"/>
      <c r="P60" s="173"/>
      <c r="Q60" s="35"/>
      <c r="R60" s="58"/>
      <c r="S60" s="1"/>
      <c r="T60" s="1"/>
    </row>
    <row r="61" spans="1:20" s="33" customFormat="1" x14ac:dyDescent="0.2">
      <c r="A61" s="110"/>
      <c r="B61" s="111"/>
      <c r="C61" s="168"/>
      <c r="D61" s="169"/>
      <c r="E61" s="128"/>
      <c r="F61" s="129"/>
      <c r="G61" s="130"/>
      <c r="H61" s="138"/>
      <c r="I61" s="182"/>
      <c r="J61" s="182"/>
      <c r="K61" s="142"/>
      <c r="L61" s="173"/>
      <c r="M61" s="173"/>
      <c r="N61" s="173"/>
      <c r="O61" s="173"/>
      <c r="P61" s="173"/>
      <c r="Q61" s="35"/>
      <c r="R61" s="58"/>
      <c r="S61" s="1"/>
      <c r="T61" s="1"/>
    </row>
    <row r="62" spans="1:20" s="33" customFormat="1" x14ac:dyDescent="0.2">
      <c r="A62" s="110"/>
      <c r="B62" s="111"/>
      <c r="C62" s="168"/>
      <c r="D62" s="169"/>
      <c r="E62" s="128"/>
      <c r="F62" s="129"/>
      <c r="G62" s="130"/>
      <c r="H62" s="138"/>
      <c r="I62" s="182"/>
      <c r="J62" s="182"/>
      <c r="K62" s="142"/>
      <c r="L62" s="173"/>
      <c r="M62" s="173"/>
      <c r="N62" s="173"/>
      <c r="O62" s="173"/>
      <c r="P62" s="173"/>
      <c r="Q62" s="35"/>
      <c r="R62" s="58"/>
      <c r="S62" s="1"/>
      <c r="T62" s="1"/>
    </row>
    <row r="63" spans="1:20" s="33" customFormat="1" x14ac:dyDescent="0.2">
      <c r="A63" s="110"/>
      <c r="B63" s="111"/>
      <c r="C63" s="168"/>
      <c r="D63" s="169"/>
      <c r="E63" s="128"/>
      <c r="F63" s="129"/>
      <c r="G63" s="130"/>
      <c r="H63" s="138"/>
      <c r="I63" s="182"/>
      <c r="J63" s="182"/>
      <c r="K63" s="142"/>
      <c r="L63" s="173"/>
      <c r="M63" s="173"/>
      <c r="N63" s="173"/>
      <c r="O63" s="173"/>
      <c r="P63" s="173"/>
      <c r="Q63" s="35"/>
      <c r="R63" s="58"/>
      <c r="S63" s="1"/>
      <c r="T63" s="1"/>
    </row>
    <row r="64" spans="1:20" s="33" customFormat="1" x14ac:dyDescent="0.2">
      <c r="A64" s="110"/>
      <c r="B64" s="111"/>
      <c r="C64" s="168"/>
      <c r="D64" s="169"/>
      <c r="E64" s="128"/>
      <c r="F64" s="129"/>
      <c r="G64" s="130"/>
      <c r="H64" s="138"/>
      <c r="I64" s="182"/>
      <c r="J64" s="182"/>
      <c r="K64" s="142"/>
      <c r="L64" s="173"/>
      <c r="M64" s="173"/>
      <c r="N64" s="173"/>
      <c r="O64" s="173"/>
      <c r="P64" s="173"/>
      <c r="Q64" s="35"/>
      <c r="R64" s="58"/>
      <c r="S64" s="1"/>
      <c r="T64" s="1"/>
    </row>
    <row r="65" spans="1:20" s="33" customFormat="1" x14ac:dyDescent="0.2">
      <c r="A65" s="110"/>
      <c r="B65" s="111"/>
      <c r="C65" s="168"/>
      <c r="D65" s="169"/>
      <c r="E65" s="128"/>
      <c r="F65" s="129"/>
      <c r="G65" s="130"/>
      <c r="H65" s="138"/>
      <c r="I65" s="182"/>
      <c r="J65" s="182"/>
      <c r="K65" s="142"/>
      <c r="L65" s="173"/>
      <c r="M65" s="173"/>
      <c r="N65" s="173"/>
      <c r="O65" s="173"/>
      <c r="P65" s="173"/>
      <c r="Q65" s="35"/>
      <c r="R65" s="58"/>
      <c r="S65" s="1"/>
      <c r="T65" s="1"/>
    </row>
    <row r="66" spans="1:20" s="33" customFormat="1" x14ac:dyDescent="0.2">
      <c r="A66" s="110"/>
      <c r="B66" s="111"/>
      <c r="C66" s="168"/>
      <c r="D66" s="169"/>
      <c r="E66" s="128"/>
      <c r="F66" s="129"/>
      <c r="G66" s="130"/>
      <c r="H66" s="138"/>
      <c r="I66" s="182"/>
      <c r="J66" s="182"/>
      <c r="K66" s="142"/>
      <c r="L66" s="173"/>
      <c r="M66" s="173"/>
      <c r="N66" s="173"/>
      <c r="O66" s="173"/>
      <c r="P66" s="173"/>
      <c r="Q66" s="35"/>
      <c r="R66" s="58"/>
      <c r="S66" s="1"/>
      <c r="T66" s="1"/>
    </row>
    <row r="67" spans="1:20" s="33" customFormat="1" x14ac:dyDescent="0.2">
      <c r="A67" s="110"/>
      <c r="B67" s="111"/>
      <c r="C67" s="168"/>
      <c r="D67" s="169"/>
      <c r="E67" s="128"/>
      <c r="F67" s="129"/>
      <c r="G67" s="130"/>
      <c r="H67" s="138"/>
      <c r="I67" s="182"/>
      <c r="J67" s="182"/>
      <c r="K67" s="142"/>
      <c r="L67" s="173"/>
      <c r="M67" s="173"/>
      <c r="N67" s="173"/>
      <c r="O67" s="173"/>
      <c r="P67" s="173"/>
      <c r="Q67" s="35"/>
      <c r="R67" s="58"/>
      <c r="S67" s="1"/>
      <c r="T67" s="1"/>
    </row>
    <row r="68" spans="1:20" s="33" customFormat="1" x14ac:dyDescent="0.2">
      <c r="A68" s="110"/>
      <c r="B68" s="111"/>
      <c r="C68" s="168"/>
      <c r="D68" s="169"/>
      <c r="E68" s="128"/>
      <c r="F68" s="129"/>
      <c r="G68" s="130"/>
      <c r="H68" s="138"/>
      <c r="I68" s="182"/>
      <c r="J68" s="182"/>
      <c r="K68" s="142"/>
      <c r="L68" s="173"/>
      <c r="M68" s="173"/>
      <c r="N68" s="173"/>
      <c r="O68" s="173"/>
      <c r="P68" s="173"/>
      <c r="Q68" s="35"/>
      <c r="R68" s="58"/>
      <c r="S68" s="1"/>
      <c r="T68" s="1"/>
    </row>
    <row r="69" spans="1:20" s="33" customFormat="1" x14ac:dyDescent="0.2">
      <c r="A69" s="110"/>
      <c r="B69" s="111"/>
      <c r="C69" s="168"/>
      <c r="D69" s="169"/>
      <c r="E69" s="128"/>
      <c r="F69" s="129"/>
      <c r="G69" s="130"/>
      <c r="H69" s="138"/>
      <c r="I69" s="182"/>
      <c r="J69" s="182"/>
      <c r="K69" s="142"/>
      <c r="L69" s="173"/>
      <c r="M69" s="173"/>
      <c r="N69" s="173"/>
      <c r="O69" s="173"/>
      <c r="P69" s="173"/>
      <c r="Q69" s="35"/>
      <c r="R69" s="58"/>
      <c r="S69" s="1"/>
      <c r="T69" s="1"/>
    </row>
    <row r="70" spans="1:20" s="33" customFormat="1" x14ac:dyDescent="0.2">
      <c r="A70" s="110"/>
      <c r="B70" s="111"/>
      <c r="C70" s="168"/>
      <c r="D70" s="169"/>
      <c r="E70" s="128"/>
      <c r="F70" s="129"/>
      <c r="G70" s="130"/>
      <c r="H70" s="138"/>
      <c r="I70" s="182"/>
      <c r="J70" s="182"/>
      <c r="K70" s="142"/>
      <c r="L70" s="173"/>
      <c r="M70" s="173"/>
      <c r="N70" s="173"/>
      <c r="O70" s="173"/>
      <c r="P70" s="173"/>
      <c r="Q70" s="35"/>
      <c r="R70" s="58"/>
      <c r="S70" s="1"/>
      <c r="T70" s="1"/>
    </row>
    <row r="71" spans="1:20" s="33" customFormat="1" x14ac:dyDescent="0.2">
      <c r="A71" s="110"/>
      <c r="B71" s="111"/>
      <c r="C71" s="168"/>
      <c r="D71" s="169"/>
      <c r="E71" s="128"/>
      <c r="F71" s="129"/>
      <c r="G71" s="130"/>
      <c r="H71" s="138"/>
      <c r="I71" s="182"/>
      <c r="J71" s="182"/>
      <c r="K71" s="142"/>
      <c r="L71" s="173"/>
      <c r="M71" s="173"/>
      <c r="N71" s="173"/>
      <c r="O71" s="173"/>
      <c r="P71" s="173"/>
      <c r="Q71" s="35"/>
      <c r="R71" s="58"/>
      <c r="S71" s="1"/>
      <c r="T71" s="1"/>
    </row>
    <row r="72" spans="1:20" s="33" customFormat="1" x14ac:dyDescent="0.2">
      <c r="A72" s="110"/>
      <c r="B72" s="111"/>
      <c r="C72" s="168"/>
      <c r="D72" s="169"/>
      <c r="E72" s="128"/>
      <c r="F72" s="129"/>
      <c r="G72" s="130"/>
      <c r="H72" s="138"/>
      <c r="I72" s="182"/>
      <c r="J72" s="182"/>
      <c r="K72" s="142"/>
      <c r="L72" s="173"/>
      <c r="M72" s="173"/>
      <c r="N72" s="173"/>
      <c r="O72" s="173"/>
      <c r="P72" s="173"/>
      <c r="Q72" s="35"/>
      <c r="R72" s="58"/>
      <c r="S72" s="1"/>
      <c r="T72" s="1"/>
    </row>
    <row r="73" spans="1:20" s="33" customFormat="1" x14ac:dyDescent="0.2">
      <c r="A73" s="110"/>
      <c r="B73" s="111"/>
      <c r="C73" s="168"/>
      <c r="D73" s="169"/>
      <c r="E73" s="128"/>
      <c r="F73" s="129"/>
      <c r="G73" s="130"/>
      <c r="H73" s="138"/>
      <c r="I73" s="182"/>
      <c r="J73" s="182"/>
      <c r="K73" s="142"/>
      <c r="L73" s="173"/>
      <c r="M73" s="173"/>
      <c r="N73" s="173"/>
      <c r="O73" s="173"/>
      <c r="P73" s="173"/>
      <c r="Q73" s="35"/>
      <c r="R73" s="58"/>
      <c r="S73" s="1"/>
      <c r="T73" s="1"/>
    </row>
    <row r="74" spans="1:20" s="33" customFormat="1" x14ac:dyDescent="0.2">
      <c r="A74" s="110"/>
      <c r="B74" s="111"/>
      <c r="C74" s="168"/>
      <c r="D74" s="169"/>
      <c r="E74" s="128"/>
      <c r="F74" s="129"/>
      <c r="G74" s="130"/>
      <c r="H74" s="138"/>
      <c r="I74" s="182"/>
      <c r="J74" s="182"/>
      <c r="K74" s="142"/>
      <c r="L74" s="173"/>
      <c r="M74" s="173"/>
      <c r="N74" s="173"/>
      <c r="O74" s="173"/>
      <c r="P74" s="173"/>
      <c r="Q74" s="35"/>
      <c r="R74" s="58"/>
      <c r="S74" s="1"/>
      <c r="T74" s="1"/>
    </row>
    <row r="75" spans="1:20" s="33" customFormat="1" x14ac:dyDescent="0.2">
      <c r="A75" s="110"/>
      <c r="B75" s="111"/>
      <c r="C75" s="168"/>
      <c r="D75" s="169"/>
      <c r="E75" s="128"/>
      <c r="F75" s="129"/>
      <c r="G75" s="130"/>
      <c r="H75" s="138"/>
      <c r="I75" s="182"/>
      <c r="J75" s="182"/>
      <c r="K75" s="142"/>
      <c r="L75" s="173"/>
      <c r="M75" s="173"/>
      <c r="N75" s="173"/>
      <c r="O75" s="173"/>
      <c r="P75" s="173"/>
      <c r="Q75" s="35"/>
      <c r="R75" s="58"/>
      <c r="S75" s="1"/>
      <c r="T75" s="1"/>
    </row>
    <row r="76" spans="1:20" s="33" customFormat="1" x14ac:dyDescent="0.2">
      <c r="A76" s="110"/>
      <c r="B76" s="111"/>
      <c r="C76" s="168"/>
      <c r="D76" s="169"/>
      <c r="E76" s="128"/>
      <c r="F76" s="129"/>
      <c r="G76" s="130"/>
      <c r="H76" s="138"/>
      <c r="I76" s="182"/>
      <c r="J76" s="182"/>
      <c r="K76" s="142"/>
      <c r="L76" s="173"/>
      <c r="M76" s="173"/>
      <c r="N76" s="173"/>
      <c r="O76" s="173"/>
      <c r="P76" s="173"/>
      <c r="Q76" s="35"/>
      <c r="R76" s="58"/>
      <c r="S76" s="1"/>
      <c r="T76" s="1"/>
    </row>
    <row r="77" spans="1:20" s="33" customFormat="1" x14ac:dyDescent="0.2">
      <c r="A77" s="110"/>
      <c r="B77" s="111"/>
      <c r="C77" s="168"/>
      <c r="D77" s="169"/>
      <c r="E77" s="128"/>
      <c r="F77" s="129"/>
      <c r="G77" s="130"/>
      <c r="H77" s="138"/>
      <c r="I77" s="182"/>
      <c r="J77" s="182"/>
      <c r="K77" s="142"/>
      <c r="L77" s="173"/>
      <c r="M77" s="173"/>
      <c r="N77" s="173"/>
      <c r="O77" s="173"/>
      <c r="P77" s="173"/>
      <c r="Q77" s="35"/>
      <c r="R77" s="58"/>
      <c r="S77" s="1"/>
      <c r="T77" s="1"/>
    </row>
    <row r="78" spans="1:20" s="33" customFormat="1" x14ac:dyDescent="0.2">
      <c r="A78" s="110"/>
      <c r="B78" s="111"/>
      <c r="C78" s="168"/>
      <c r="D78" s="169"/>
      <c r="E78" s="128"/>
      <c r="F78" s="129"/>
      <c r="G78" s="130"/>
      <c r="H78" s="138"/>
      <c r="I78" s="182"/>
      <c r="J78" s="182"/>
      <c r="K78" s="142"/>
      <c r="L78" s="173"/>
      <c r="M78" s="173"/>
      <c r="N78" s="173"/>
      <c r="O78" s="173"/>
      <c r="P78" s="173"/>
      <c r="Q78" s="35"/>
      <c r="R78" s="58"/>
      <c r="S78" s="1"/>
      <c r="T78" s="1"/>
    </row>
    <row r="79" spans="1:20" s="33" customFormat="1" x14ac:dyDescent="0.2">
      <c r="A79" s="110"/>
      <c r="B79" s="111"/>
      <c r="C79" s="168"/>
      <c r="D79" s="169"/>
      <c r="E79" s="128"/>
      <c r="F79" s="129"/>
      <c r="G79" s="130"/>
      <c r="H79" s="138"/>
      <c r="I79" s="182"/>
      <c r="J79" s="182"/>
      <c r="K79" s="142"/>
      <c r="L79" s="173"/>
      <c r="M79" s="173"/>
      <c r="N79" s="173"/>
      <c r="O79" s="173"/>
      <c r="P79" s="173"/>
      <c r="Q79" s="35"/>
      <c r="R79" s="58"/>
      <c r="S79" s="1"/>
      <c r="T79" s="1"/>
    </row>
    <row r="80" spans="1:20" s="33" customFormat="1" x14ac:dyDescent="0.2">
      <c r="A80" s="110"/>
      <c r="B80" s="111"/>
      <c r="C80" s="168"/>
      <c r="D80" s="169"/>
      <c r="E80" s="128"/>
      <c r="F80" s="129"/>
      <c r="G80" s="130"/>
      <c r="H80" s="138"/>
      <c r="I80" s="182"/>
      <c r="J80" s="182"/>
      <c r="K80" s="142"/>
      <c r="L80" s="173"/>
      <c r="M80" s="173"/>
      <c r="N80" s="173"/>
      <c r="O80" s="173"/>
      <c r="P80" s="173"/>
      <c r="Q80" s="35"/>
      <c r="R80" s="58"/>
      <c r="S80" s="1"/>
      <c r="T80" s="1"/>
    </row>
    <row r="81" spans="1:20" s="33" customFormat="1" x14ac:dyDescent="0.2">
      <c r="A81" s="110"/>
      <c r="B81" s="111"/>
      <c r="C81" s="168"/>
      <c r="D81" s="169"/>
      <c r="E81" s="128"/>
      <c r="F81" s="129"/>
      <c r="G81" s="130"/>
      <c r="H81" s="138"/>
      <c r="I81" s="182"/>
      <c r="J81" s="182"/>
      <c r="K81" s="142"/>
      <c r="L81" s="173"/>
      <c r="M81" s="173"/>
      <c r="N81" s="173"/>
      <c r="O81" s="173"/>
      <c r="P81" s="173"/>
      <c r="Q81" s="35"/>
      <c r="R81" s="58"/>
      <c r="S81" s="1"/>
      <c r="T81" s="1"/>
    </row>
    <row r="82" spans="1:20" s="33" customFormat="1" x14ac:dyDescent="0.2">
      <c r="A82" s="110"/>
      <c r="B82" s="111"/>
      <c r="C82" s="168"/>
      <c r="D82" s="169"/>
      <c r="E82" s="128"/>
      <c r="F82" s="129"/>
      <c r="G82" s="130"/>
      <c r="H82" s="138"/>
      <c r="I82" s="182"/>
      <c r="J82" s="182"/>
      <c r="K82" s="142"/>
      <c r="L82" s="173"/>
      <c r="M82" s="173"/>
      <c r="N82" s="173"/>
      <c r="O82" s="173"/>
      <c r="P82" s="173"/>
      <c r="Q82" s="35"/>
      <c r="R82" s="58"/>
      <c r="S82" s="1"/>
      <c r="T82" s="1"/>
    </row>
    <row r="83" spans="1:20" s="33" customFormat="1" x14ac:dyDescent="0.2">
      <c r="A83" s="110"/>
      <c r="B83" s="111"/>
      <c r="C83" s="168"/>
      <c r="D83" s="169"/>
      <c r="E83" s="128"/>
      <c r="F83" s="129"/>
      <c r="G83" s="130"/>
      <c r="H83" s="138"/>
      <c r="I83" s="182"/>
      <c r="J83" s="182"/>
      <c r="K83" s="142"/>
      <c r="L83" s="173"/>
      <c r="M83" s="173"/>
      <c r="N83" s="173"/>
      <c r="O83" s="173"/>
      <c r="P83" s="173"/>
      <c r="Q83" s="35"/>
      <c r="R83" s="58"/>
      <c r="S83" s="1"/>
      <c r="T83" s="1"/>
    </row>
    <row r="84" spans="1:20" s="33" customFormat="1" x14ac:dyDescent="0.2">
      <c r="A84" s="110"/>
      <c r="B84" s="111"/>
      <c r="C84" s="168"/>
      <c r="D84" s="169"/>
      <c r="E84" s="128"/>
      <c r="F84" s="129"/>
      <c r="G84" s="130"/>
      <c r="H84" s="138"/>
      <c r="I84" s="182"/>
      <c r="J84" s="182"/>
      <c r="K84" s="142"/>
      <c r="L84" s="173"/>
      <c r="M84" s="173"/>
      <c r="N84" s="173"/>
      <c r="O84" s="173"/>
      <c r="P84" s="173"/>
      <c r="Q84" s="35"/>
      <c r="R84" s="58"/>
      <c r="S84" s="1"/>
      <c r="T84" s="1"/>
    </row>
    <row r="85" spans="1:20" s="33" customFormat="1" x14ac:dyDescent="0.2">
      <c r="A85" s="110"/>
      <c r="B85" s="111"/>
      <c r="C85" s="168"/>
      <c r="D85" s="169"/>
      <c r="E85" s="128"/>
      <c r="F85" s="129"/>
      <c r="G85" s="130"/>
      <c r="H85" s="138"/>
      <c r="I85" s="182"/>
      <c r="J85" s="182"/>
      <c r="K85" s="142"/>
      <c r="L85" s="173"/>
      <c r="M85" s="173"/>
      <c r="N85" s="173"/>
      <c r="O85" s="173"/>
      <c r="P85" s="173"/>
      <c r="Q85" s="35"/>
      <c r="R85" s="58"/>
      <c r="S85" s="1"/>
      <c r="T85" s="1"/>
    </row>
    <row r="86" spans="1:20" s="33" customFormat="1" x14ac:dyDescent="0.2">
      <c r="A86" s="110"/>
      <c r="B86" s="111"/>
      <c r="C86" s="168"/>
      <c r="D86" s="169"/>
      <c r="E86" s="128"/>
      <c r="F86" s="129"/>
      <c r="G86" s="130"/>
      <c r="H86" s="138"/>
      <c r="I86" s="182"/>
      <c r="J86" s="182"/>
      <c r="K86" s="142"/>
      <c r="L86" s="173"/>
      <c r="M86" s="173"/>
      <c r="N86" s="173"/>
      <c r="O86" s="173"/>
      <c r="P86" s="173"/>
      <c r="Q86" s="35"/>
      <c r="R86" s="58"/>
      <c r="S86" s="1"/>
      <c r="T86" s="1"/>
    </row>
    <row r="87" spans="1:20" s="33" customFormat="1" x14ac:dyDescent="0.2">
      <c r="A87" s="110"/>
      <c r="B87" s="111"/>
      <c r="C87" s="168"/>
      <c r="D87" s="169"/>
      <c r="E87" s="128"/>
      <c r="F87" s="129"/>
      <c r="G87" s="130"/>
      <c r="H87" s="138"/>
      <c r="I87" s="182"/>
      <c r="J87" s="182"/>
      <c r="K87" s="142"/>
      <c r="L87" s="173"/>
      <c r="M87" s="173"/>
      <c r="N87" s="173"/>
      <c r="O87" s="173"/>
      <c r="P87" s="173"/>
      <c r="Q87" s="35"/>
      <c r="R87" s="58"/>
      <c r="S87" s="1"/>
      <c r="T87" s="1"/>
    </row>
    <row r="88" spans="1:20" s="33" customFormat="1" x14ac:dyDescent="0.2">
      <c r="A88" s="110"/>
      <c r="B88" s="111"/>
      <c r="C88" s="168"/>
      <c r="D88" s="169"/>
      <c r="E88" s="128"/>
      <c r="F88" s="129"/>
      <c r="G88" s="130"/>
      <c r="H88" s="138"/>
      <c r="I88" s="182"/>
      <c r="J88" s="182"/>
      <c r="K88" s="142"/>
      <c r="L88" s="173"/>
      <c r="M88" s="173"/>
      <c r="N88" s="173"/>
      <c r="O88" s="173"/>
      <c r="P88" s="173"/>
      <c r="Q88" s="35"/>
      <c r="R88" s="58"/>
      <c r="S88" s="1"/>
      <c r="T88" s="1"/>
    </row>
    <row r="89" spans="1:20" s="33" customFormat="1" x14ac:dyDescent="0.2">
      <c r="A89" s="110"/>
      <c r="B89" s="111"/>
      <c r="C89" s="168"/>
      <c r="D89" s="169"/>
      <c r="E89" s="128"/>
      <c r="F89" s="129"/>
      <c r="G89" s="130"/>
      <c r="H89" s="138"/>
      <c r="I89" s="182"/>
      <c r="J89" s="182"/>
      <c r="K89" s="142"/>
      <c r="L89" s="173"/>
      <c r="M89" s="173"/>
      <c r="N89" s="173"/>
      <c r="O89" s="173"/>
      <c r="P89" s="173"/>
      <c r="Q89" s="35"/>
      <c r="R89" s="58"/>
      <c r="S89" s="1"/>
      <c r="T89" s="1"/>
    </row>
    <row r="90" spans="1:20" s="33" customFormat="1" x14ac:dyDescent="0.2">
      <c r="A90" s="110"/>
      <c r="B90" s="111"/>
      <c r="C90" s="168"/>
      <c r="D90" s="169"/>
      <c r="E90" s="128"/>
      <c r="F90" s="129"/>
      <c r="G90" s="130"/>
      <c r="H90" s="138"/>
      <c r="I90" s="182"/>
      <c r="J90" s="182"/>
      <c r="K90" s="142"/>
      <c r="L90" s="173"/>
      <c r="M90" s="173"/>
      <c r="N90" s="173"/>
      <c r="O90" s="173"/>
      <c r="P90" s="173"/>
      <c r="Q90" s="35"/>
      <c r="R90" s="58"/>
      <c r="S90" s="1"/>
      <c r="T90" s="1"/>
    </row>
    <row r="91" spans="1:20" s="33" customFormat="1" x14ac:dyDescent="0.2">
      <c r="A91" s="110"/>
      <c r="B91" s="111"/>
      <c r="C91" s="168"/>
      <c r="D91" s="169"/>
      <c r="E91" s="128"/>
      <c r="F91" s="129"/>
      <c r="G91" s="130"/>
      <c r="H91" s="138"/>
      <c r="I91" s="182"/>
      <c r="J91" s="182"/>
      <c r="K91" s="142"/>
      <c r="L91" s="173"/>
      <c r="M91" s="173"/>
      <c r="N91" s="173"/>
      <c r="O91" s="173"/>
      <c r="P91" s="173"/>
      <c r="Q91" s="35"/>
      <c r="R91" s="58"/>
      <c r="S91" s="1"/>
      <c r="T91" s="1"/>
    </row>
    <row r="92" spans="1:20" s="33" customFormat="1" x14ac:dyDescent="0.2">
      <c r="A92" s="110"/>
      <c r="B92" s="111"/>
      <c r="C92" s="168"/>
      <c r="D92" s="169"/>
      <c r="E92" s="128"/>
      <c r="F92" s="129"/>
      <c r="G92" s="130"/>
      <c r="H92" s="138"/>
      <c r="I92" s="182"/>
      <c r="J92" s="182"/>
      <c r="K92" s="142"/>
      <c r="L92" s="173"/>
      <c r="M92" s="173"/>
      <c r="N92" s="173"/>
      <c r="O92" s="173"/>
      <c r="P92" s="173"/>
      <c r="Q92" s="35"/>
      <c r="R92" s="58"/>
      <c r="S92" s="1"/>
      <c r="T92" s="1"/>
    </row>
    <row r="93" spans="1:20" s="33" customFormat="1" x14ac:dyDescent="0.2">
      <c r="A93" s="110"/>
      <c r="B93" s="111"/>
      <c r="C93" s="168"/>
      <c r="D93" s="169"/>
      <c r="E93" s="128"/>
      <c r="F93" s="129"/>
      <c r="G93" s="130"/>
      <c r="H93" s="138"/>
      <c r="I93" s="182"/>
      <c r="J93" s="182"/>
      <c r="K93" s="142"/>
      <c r="L93" s="173"/>
      <c r="M93" s="173"/>
      <c r="N93" s="173"/>
      <c r="O93" s="173"/>
      <c r="P93" s="173"/>
      <c r="Q93" s="35"/>
      <c r="R93" s="58"/>
      <c r="S93" s="1"/>
      <c r="T93" s="1"/>
    </row>
    <row r="94" spans="1:20" s="33" customFormat="1" x14ac:dyDescent="0.2">
      <c r="A94" s="110"/>
      <c r="B94" s="111"/>
      <c r="C94" s="168"/>
      <c r="D94" s="169"/>
      <c r="E94" s="128"/>
      <c r="F94" s="129"/>
      <c r="G94" s="130"/>
      <c r="H94" s="138"/>
      <c r="I94" s="182"/>
      <c r="J94" s="182"/>
      <c r="K94" s="142"/>
      <c r="L94" s="173"/>
      <c r="M94" s="173"/>
      <c r="N94" s="173"/>
      <c r="O94" s="173"/>
      <c r="P94" s="173"/>
      <c r="Q94" s="35"/>
      <c r="R94" s="58"/>
      <c r="S94" s="1"/>
      <c r="T94" s="1"/>
    </row>
    <row r="95" spans="1:20" s="33" customFormat="1" x14ac:dyDescent="0.2">
      <c r="A95" s="110"/>
      <c r="B95" s="111"/>
      <c r="C95" s="168"/>
      <c r="D95" s="169"/>
      <c r="E95" s="128"/>
      <c r="F95" s="129"/>
      <c r="G95" s="130"/>
      <c r="H95" s="138"/>
      <c r="I95" s="182"/>
      <c r="J95" s="182"/>
      <c r="K95" s="142"/>
      <c r="L95" s="173"/>
      <c r="M95" s="173"/>
      <c r="N95" s="173"/>
      <c r="O95" s="173"/>
      <c r="P95" s="173"/>
      <c r="Q95" s="35"/>
      <c r="R95" s="58"/>
      <c r="S95" s="1"/>
      <c r="T95" s="1"/>
    </row>
    <row r="96" spans="1:20" s="33" customFormat="1" x14ac:dyDescent="0.2">
      <c r="A96" s="110"/>
      <c r="B96" s="111"/>
      <c r="C96" s="168"/>
      <c r="D96" s="169"/>
      <c r="E96" s="128"/>
      <c r="F96" s="129"/>
      <c r="G96" s="130"/>
      <c r="H96" s="138"/>
      <c r="I96" s="182"/>
      <c r="J96" s="182"/>
      <c r="K96" s="142"/>
      <c r="L96" s="173"/>
      <c r="M96" s="173"/>
      <c r="N96" s="173"/>
      <c r="O96" s="173"/>
      <c r="P96" s="173"/>
      <c r="Q96" s="35"/>
      <c r="R96" s="58"/>
      <c r="S96" s="1"/>
      <c r="T96" s="1"/>
    </row>
    <row r="97" spans="1:20" s="33" customFormat="1" x14ac:dyDescent="0.2">
      <c r="A97" s="110"/>
      <c r="B97" s="111"/>
      <c r="C97" s="168"/>
      <c r="D97" s="169"/>
      <c r="E97" s="128"/>
      <c r="F97" s="129"/>
      <c r="G97" s="130"/>
      <c r="H97" s="138"/>
      <c r="I97" s="182"/>
      <c r="J97" s="182"/>
      <c r="K97" s="142"/>
      <c r="L97" s="173"/>
      <c r="M97" s="173"/>
      <c r="N97" s="173"/>
      <c r="O97" s="173"/>
      <c r="P97" s="173"/>
      <c r="Q97" s="35"/>
      <c r="R97" s="58"/>
      <c r="S97" s="1"/>
      <c r="T97" s="1"/>
    </row>
    <row r="98" spans="1:20" s="33" customFormat="1" x14ac:dyDescent="0.2">
      <c r="A98" s="110"/>
      <c r="B98" s="111"/>
      <c r="C98" s="168"/>
      <c r="D98" s="169"/>
      <c r="E98" s="128"/>
      <c r="F98" s="129"/>
      <c r="G98" s="130"/>
      <c r="H98" s="138"/>
      <c r="I98" s="182"/>
      <c r="J98" s="182"/>
      <c r="K98" s="142"/>
      <c r="L98" s="173"/>
      <c r="M98" s="173"/>
      <c r="N98" s="173"/>
      <c r="O98" s="173"/>
      <c r="P98" s="173"/>
      <c r="Q98" s="35"/>
      <c r="R98" s="58"/>
      <c r="S98" s="1"/>
      <c r="T98" s="1"/>
    </row>
    <row r="99" spans="1:20" s="33" customFormat="1" x14ac:dyDescent="0.2">
      <c r="A99" s="110"/>
      <c r="B99" s="111"/>
      <c r="C99" s="168"/>
      <c r="D99" s="169"/>
      <c r="E99" s="128"/>
      <c r="F99" s="129"/>
      <c r="G99" s="130"/>
      <c r="H99" s="138"/>
      <c r="I99" s="182"/>
      <c r="J99" s="182"/>
      <c r="K99" s="142"/>
      <c r="L99" s="173"/>
      <c r="M99" s="173"/>
      <c r="N99" s="173"/>
      <c r="O99" s="173"/>
      <c r="P99" s="173"/>
      <c r="Q99" s="35"/>
      <c r="R99" s="58"/>
      <c r="S99" s="1"/>
      <c r="T99" s="1"/>
    </row>
    <row r="100" spans="1:20" s="33" customFormat="1" x14ac:dyDescent="0.2">
      <c r="A100" s="110"/>
      <c r="B100" s="111"/>
      <c r="C100" s="168"/>
      <c r="D100" s="169"/>
      <c r="E100" s="128"/>
      <c r="F100" s="129"/>
      <c r="G100" s="130"/>
      <c r="H100" s="138"/>
      <c r="I100" s="182"/>
      <c r="J100" s="182"/>
      <c r="K100" s="142"/>
      <c r="L100" s="173"/>
      <c r="M100" s="173"/>
      <c r="N100" s="173"/>
      <c r="O100" s="173"/>
      <c r="P100" s="173"/>
      <c r="Q100" s="35"/>
      <c r="R100" s="58"/>
      <c r="S100" s="1"/>
      <c r="T100" s="1"/>
    </row>
    <row r="101" spans="1:20" s="33" customFormat="1" x14ac:dyDescent="0.2">
      <c r="A101" s="110"/>
      <c r="B101" s="111"/>
      <c r="C101" s="168"/>
      <c r="D101" s="169"/>
      <c r="E101" s="128"/>
      <c r="F101" s="129"/>
      <c r="G101" s="130"/>
      <c r="H101" s="138"/>
      <c r="I101" s="182"/>
      <c r="J101" s="182"/>
      <c r="K101" s="142"/>
      <c r="L101" s="173"/>
      <c r="M101" s="173"/>
      <c r="N101" s="173"/>
      <c r="O101" s="173"/>
      <c r="P101" s="173"/>
      <c r="Q101" s="35"/>
      <c r="R101" s="58"/>
      <c r="S101" s="1"/>
      <c r="T101" s="1"/>
    </row>
    <row r="102" spans="1:20" s="33" customFormat="1" x14ac:dyDescent="0.2">
      <c r="A102" s="110"/>
      <c r="B102" s="111"/>
      <c r="C102" s="168"/>
      <c r="D102" s="169"/>
      <c r="E102" s="128"/>
      <c r="F102" s="129"/>
      <c r="G102" s="130"/>
      <c r="H102" s="138"/>
      <c r="I102" s="182"/>
      <c r="J102" s="182"/>
      <c r="K102" s="142"/>
      <c r="L102" s="173"/>
      <c r="M102" s="173"/>
      <c r="N102" s="173"/>
      <c r="O102" s="173"/>
      <c r="P102" s="173"/>
      <c r="Q102" s="35"/>
      <c r="R102" s="58"/>
      <c r="S102" s="1"/>
      <c r="T102" s="1"/>
    </row>
    <row r="103" spans="1:20" s="33" customFormat="1" x14ac:dyDescent="0.2">
      <c r="A103" s="110"/>
      <c r="B103" s="111"/>
      <c r="C103" s="168"/>
      <c r="D103" s="169"/>
      <c r="E103" s="128"/>
      <c r="F103" s="129"/>
      <c r="G103" s="130"/>
      <c r="H103" s="138"/>
      <c r="I103" s="182"/>
      <c r="J103" s="182"/>
      <c r="K103" s="142"/>
      <c r="L103" s="173"/>
      <c r="M103" s="173"/>
      <c r="N103" s="173"/>
      <c r="O103" s="173"/>
      <c r="P103" s="173"/>
      <c r="Q103" s="35"/>
      <c r="R103" s="58"/>
      <c r="S103" s="1"/>
      <c r="T103" s="1"/>
    </row>
    <row r="104" spans="1:20" s="33" customFormat="1" x14ac:dyDescent="0.2">
      <c r="A104" s="110"/>
      <c r="B104" s="111"/>
      <c r="C104" s="168"/>
      <c r="D104" s="169"/>
      <c r="E104" s="128"/>
      <c r="F104" s="129"/>
      <c r="G104" s="130"/>
      <c r="H104" s="138"/>
      <c r="I104" s="182"/>
      <c r="J104" s="182"/>
      <c r="K104" s="142"/>
      <c r="L104" s="173"/>
      <c r="M104" s="173"/>
      <c r="N104" s="173"/>
      <c r="O104" s="173"/>
      <c r="P104" s="173"/>
      <c r="Q104" s="35"/>
      <c r="R104" s="58"/>
      <c r="S104" s="1"/>
      <c r="T104" s="1"/>
    </row>
    <row r="105" spans="1:20" s="33" customFormat="1" x14ac:dyDescent="0.2">
      <c r="A105" s="110"/>
      <c r="B105" s="111"/>
      <c r="C105" s="168"/>
      <c r="D105" s="169"/>
      <c r="E105" s="128"/>
      <c r="F105" s="129"/>
      <c r="G105" s="130"/>
      <c r="H105" s="138"/>
      <c r="I105" s="182"/>
      <c r="J105" s="182"/>
      <c r="K105" s="142"/>
      <c r="L105" s="173"/>
      <c r="M105" s="173"/>
      <c r="N105" s="173"/>
      <c r="O105" s="173"/>
      <c r="P105" s="173"/>
      <c r="Q105" s="35"/>
      <c r="R105" s="58"/>
      <c r="S105" s="1"/>
      <c r="T105" s="1"/>
    </row>
    <row r="106" spans="1:20" s="33" customFormat="1" x14ac:dyDescent="0.2">
      <c r="A106" s="110"/>
      <c r="B106" s="111"/>
      <c r="C106" s="168"/>
      <c r="D106" s="169"/>
      <c r="E106" s="128"/>
      <c r="F106" s="129"/>
      <c r="G106" s="130"/>
      <c r="H106" s="138"/>
      <c r="I106" s="182"/>
      <c r="J106" s="182"/>
      <c r="K106" s="142"/>
      <c r="L106" s="173"/>
      <c r="M106" s="173"/>
      <c r="N106" s="173"/>
      <c r="O106" s="173"/>
      <c r="P106" s="173"/>
      <c r="Q106" s="35"/>
      <c r="R106" s="58"/>
      <c r="S106" s="1"/>
      <c r="T106" s="1"/>
    </row>
    <row r="107" spans="1:20" s="33" customFormat="1" x14ac:dyDescent="0.2">
      <c r="A107" s="110"/>
      <c r="B107" s="111"/>
      <c r="C107" s="168"/>
      <c r="D107" s="169"/>
      <c r="E107" s="128"/>
      <c r="F107" s="129"/>
      <c r="G107" s="130"/>
      <c r="H107" s="138"/>
      <c r="I107" s="182"/>
      <c r="J107" s="182"/>
      <c r="K107" s="142"/>
      <c r="L107" s="173"/>
      <c r="M107" s="173"/>
      <c r="N107" s="173"/>
      <c r="O107" s="173"/>
      <c r="P107" s="173"/>
      <c r="Q107" s="35"/>
      <c r="R107" s="58"/>
      <c r="S107" s="1"/>
      <c r="T107" s="1"/>
    </row>
    <row r="108" spans="1:20" s="33" customFormat="1" x14ac:dyDescent="0.2">
      <c r="A108" s="110"/>
      <c r="B108" s="111"/>
      <c r="C108" s="168"/>
      <c r="D108" s="169"/>
      <c r="E108" s="128"/>
      <c r="F108" s="129"/>
      <c r="G108" s="130"/>
      <c r="H108" s="138"/>
      <c r="I108" s="182"/>
      <c r="J108" s="182"/>
      <c r="K108" s="142"/>
      <c r="L108" s="173"/>
      <c r="M108" s="173"/>
      <c r="N108" s="173"/>
      <c r="O108" s="173"/>
      <c r="P108" s="173"/>
      <c r="Q108" s="35"/>
      <c r="R108" s="58"/>
      <c r="S108" s="1"/>
      <c r="T108" s="1"/>
    </row>
    <row r="109" spans="1:20" s="33" customFormat="1" x14ac:dyDescent="0.2">
      <c r="A109" s="110"/>
      <c r="B109" s="111"/>
      <c r="C109" s="168"/>
      <c r="D109" s="169"/>
      <c r="E109" s="128"/>
      <c r="F109" s="129"/>
      <c r="G109" s="130"/>
      <c r="H109" s="138"/>
      <c r="I109" s="182"/>
      <c r="J109" s="182"/>
      <c r="K109" s="142"/>
      <c r="L109" s="173"/>
      <c r="M109" s="173"/>
      <c r="N109" s="173"/>
      <c r="O109" s="173"/>
      <c r="P109" s="173"/>
      <c r="Q109" s="35"/>
      <c r="R109" s="58"/>
      <c r="S109" s="1"/>
      <c r="T109" s="1"/>
    </row>
    <row r="110" spans="1:20" s="33" customFormat="1" x14ac:dyDescent="0.2">
      <c r="A110" s="110"/>
      <c r="B110" s="111"/>
      <c r="C110" s="168"/>
      <c r="D110" s="169"/>
      <c r="E110" s="128"/>
      <c r="F110" s="129"/>
      <c r="G110" s="130"/>
      <c r="H110" s="138"/>
      <c r="I110" s="182"/>
      <c r="J110" s="182"/>
      <c r="K110" s="142"/>
      <c r="L110" s="173"/>
      <c r="M110" s="173"/>
      <c r="N110" s="173"/>
      <c r="O110" s="173"/>
      <c r="P110" s="173"/>
      <c r="Q110" s="35"/>
      <c r="R110" s="58"/>
      <c r="S110" s="1"/>
      <c r="T110" s="1"/>
    </row>
    <row r="111" spans="1:20" s="33" customFormat="1" x14ac:dyDescent="0.2">
      <c r="A111" s="110"/>
      <c r="B111" s="111"/>
      <c r="C111" s="168"/>
      <c r="D111" s="169"/>
      <c r="E111" s="128"/>
      <c r="F111" s="129"/>
      <c r="G111" s="130"/>
      <c r="H111" s="138"/>
      <c r="I111" s="182"/>
      <c r="J111" s="182"/>
      <c r="K111" s="142"/>
      <c r="L111" s="173"/>
      <c r="M111" s="173"/>
      <c r="N111" s="173"/>
      <c r="O111" s="173"/>
      <c r="P111" s="173"/>
      <c r="Q111" s="35"/>
      <c r="R111" s="58"/>
      <c r="S111" s="1"/>
      <c r="T111" s="1"/>
    </row>
    <row r="112" spans="1:20" s="33" customFormat="1" x14ac:dyDescent="0.2">
      <c r="A112" s="110"/>
      <c r="B112" s="111"/>
      <c r="C112" s="168"/>
      <c r="D112" s="169"/>
      <c r="E112" s="128"/>
      <c r="F112" s="129"/>
      <c r="G112" s="130"/>
      <c r="H112" s="138"/>
      <c r="I112" s="182"/>
      <c r="J112" s="182"/>
      <c r="K112" s="142"/>
      <c r="L112" s="173"/>
      <c r="M112" s="173"/>
      <c r="N112" s="173"/>
      <c r="O112" s="173"/>
      <c r="P112" s="173"/>
      <c r="Q112" s="35"/>
      <c r="R112" s="58"/>
      <c r="S112" s="1"/>
      <c r="T112" s="1"/>
    </row>
    <row r="113" spans="1:20" s="33" customFormat="1" x14ac:dyDescent="0.2">
      <c r="A113" s="110"/>
      <c r="B113" s="111"/>
      <c r="C113" s="168"/>
      <c r="D113" s="169"/>
      <c r="E113" s="128"/>
      <c r="F113" s="129"/>
      <c r="G113" s="130"/>
      <c r="H113" s="138"/>
      <c r="I113" s="182"/>
      <c r="J113" s="182"/>
      <c r="K113" s="142"/>
      <c r="L113" s="173"/>
      <c r="M113" s="173"/>
      <c r="N113" s="173"/>
      <c r="O113" s="173"/>
      <c r="P113" s="173"/>
      <c r="Q113" s="35"/>
      <c r="R113" s="58"/>
      <c r="S113" s="1"/>
      <c r="T113" s="1"/>
    </row>
    <row r="114" spans="1:20" s="33" customFormat="1" x14ac:dyDescent="0.2">
      <c r="A114" s="110"/>
      <c r="B114" s="111"/>
      <c r="C114" s="168"/>
      <c r="D114" s="169"/>
      <c r="E114" s="128"/>
      <c r="F114" s="129"/>
      <c r="G114" s="130"/>
      <c r="H114" s="138"/>
      <c r="I114" s="182"/>
      <c r="J114" s="182"/>
      <c r="K114" s="142"/>
      <c r="L114" s="173"/>
      <c r="M114" s="173"/>
      <c r="N114" s="173"/>
      <c r="O114" s="173"/>
      <c r="P114" s="173"/>
      <c r="Q114" s="35"/>
      <c r="R114" s="58"/>
      <c r="S114" s="1"/>
      <c r="T114" s="1"/>
    </row>
    <row r="115" spans="1:20" s="33" customFormat="1" x14ac:dyDescent="0.2">
      <c r="A115" s="110"/>
      <c r="B115" s="111"/>
      <c r="C115" s="168"/>
      <c r="D115" s="169"/>
      <c r="E115" s="128"/>
      <c r="F115" s="129"/>
      <c r="G115" s="130"/>
      <c r="H115" s="138"/>
      <c r="I115" s="182"/>
      <c r="J115" s="182"/>
      <c r="K115" s="142"/>
      <c r="L115" s="173"/>
      <c r="M115" s="173"/>
      <c r="N115" s="173"/>
      <c r="O115" s="173"/>
      <c r="P115" s="173"/>
      <c r="Q115" s="35"/>
      <c r="R115" s="58"/>
      <c r="S115" s="1"/>
      <c r="T115" s="1"/>
    </row>
    <row r="116" spans="1:20" s="33" customFormat="1" x14ac:dyDescent="0.2">
      <c r="A116" s="110"/>
      <c r="B116" s="111"/>
      <c r="C116" s="168"/>
      <c r="D116" s="169"/>
      <c r="E116" s="128"/>
      <c r="F116" s="129"/>
      <c r="G116" s="130"/>
      <c r="H116" s="138"/>
      <c r="I116" s="182"/>
      <c r="J116" s="182"/>
      <c r="K116" s="142"/>
      <c r="L116" s="173"/>
      <c r="M116" s="173"/>
      <c r="N116" s="173"/>
      <c r="O116" s="173"/>
      <c r="P116" s="173"/>
      <c r="Q116" s="35"/>
      <c r="R116" s="58"/>
      <c r="S116" s="1"/>
      <c r="T116" s="1"/>
    </row>
    <row r="117" spans="1:20" s="33" customFormat="1" x14ac:dyDescent="0.2">
      <c r="A117" s="110"/>
      <c r="B117" s="111"/>
      <c r="C117" s="168"/>
      <c r="D117" s="169"/>
      <c r="E117" s="128"/>
      <c r="F117" s="129"/>
      <c r="G117" s="130"/>
      <c r="H117" s="138"/>
      <c r="I117" s="182"/>
      <c r="J117" s="182"/>
      <c r="K117" s="142"/>
      <c r="L117" s="173"/>
      <c r="M117" s="173"/>
      <c r="N117" s="173"/>
      <c r="O117" s="173"/>
      <c r="P117" s="173"/>
      <c r="Q117" s="35"/>
      <c r="R117" s="58"/>
      <c r="S117" s="1"/>
      <c r="T117" s="1"/>
    </row>
    <row r="118" spans="1:20" s="33" customFormat="1" x14ac:dyDescent="0.2">
      <c r="A118" s="110"/>
      <c r="B118" s="111"/>
      <c r="C118" s="168"/>
      <c r="D118" s="169"/>
      <c r="E118" s="128"/>
      <c r="F118" s="129"/>
      <c r="G118" s="130"/>
      <c r="H118" s="138"/>
      <c r="I118" s="182"/>
      <c r="J118" s="182"/>
      <c r="K118" s="142"/>
      <c r="L118" s="173"/>
      <c r="M118" s="173"/>
      <c r="N118" s="173"/>
      <c r="O118" s="173"/>
      <c r="P118" s="173"/>
      <c r="Q118" s="35"/>
      <c r="R118" s="58"/>
      <c r="S118" s="1"/>
      <c r="T118" s="1"/>
    </row>
    <row r="119" spans="1:20" s="33" customFormat="1" x14ac:dyDescent="0.2">
      <c r="A119" s="110"/>
      <c r="B119" s="111"/>
      <c r="C119" s="168"/>
      <c r="D119" s="169"/>
      <c r="E119" s="128"/>
      <c r="F119" s="129"/>
      <c r="G119" s="130"/>
      <c r="H119" s="138"/>
      <c r="I119" s="182"/>
      <c r="J119" s="182"/>
      <c r="K119" s="142"/>
      <c r="L119" s="173"/>
      <c r="M119" s="173"/>
      <c r="N119" s="173"/>
      <c r="O119" s="173"/>
      <c r="P119" s="173"/>
      <c r="Q119" s="35"/>
      <c r="R119" s="58"/>
      <c r="S119" s="1"/>
      <c r="T119" s="1"/>
    </row>
    <row r="120" spans="1:20" s="33" customFormat="1" x14ac:dyDescent="0.2">
      <c r="A120" s="110"/>
      <c r="B120" s="111"/>
      <c r="C120" s="168"/>
      <c r="D120" s="169"/>
      <c r="E120" s="128"/>
      <c r="F120" s="129"/>
      <c r="G120" s="130"/>
      <c r="H120" s="138"/>
      <c r="I120" s="182"/>
      <c r="J120" s="182"/>
      <c r="K120" s="142"/>
      <c r="L120" s="173"/>
      <c r="M120" s="173"/>
      <c r="N120" s="173"/>
      <c r="O120" s="173"/>
      <c r="P120" s="173"/>
      <c r="Q120" s="35"/>
      <c r="R120" s="58"/>
      <c r="S120" s="1"/>
      <c r="T120" s="1"/>
    </row>
    <row r="121" spans="1:20" s="33" customFormat="1" x14ac:dyDescent="0.2">
      <c r="A121" s="110"/>
      <c r="B121" s="111"/>
      <c r="C121" s="168"/>
      <c r="D121" s="169"/>
      <c r="E121" s="128"/>
      <c r="F121" s="129"/>
      <c r="G121" s="130"/>
      <c r="H121" s="138"/>
      <c r="I121" s="182"/>
      <c r="J121" s="182"/>
      <c r="K121" s="142"/>
      <c r="L121" s="173"/>
      <c r="M121" s="173"/>
      <c r="N121" s="173"/>
      <c r="O121" s="173"/>
      <c r="P121" s="173"/>
      <c r="Q121" s="35"/>
      <c r="R121" s="58"/>
      <c r="S121" s="1"/>
      <c r="T121" s="1"/>
    </row>
    <row r="122" spans="1:20" s="33" customFormat="1" x14ac:dyDescent="0.2">
      <c r="A122" s="110"/>
      <c r="B122" s="111"/>
      <c r="C122" s="168"/>
      <c r="D122" s="169"/>
      <c r="E122" s="128"/>
      <c r="F122" s="129"/>
      <c r="G122" s="130"/>
      <c r="H122" s="138"/>
      <c r="I122" s="182"/>
      <c r="J122" s="182"/>
      <c r="K122" s="142"/>
      <c r="L122" s="173"/>
      <c r="M122" s="173"/>
      <c r="N122" s="173"/>
      <c r="O122" s="173"/>
      <c r="P122" s="173"/>
      <c r="Q122" s="35"/>
      <c r="R122" s="58"/>
      <c r="S122" s="1"/>
      <c r="T122" s="1"/>
    </row>
    <row r="123" spans="1:20" s="33" customFormat="1" x14ac:dyDescent="0.2">
      <c r="A123" s="110"/>
      <c r="B123" s="111"/>
      <c r="C123" s="168"/>
      <c r="D123" s="169"/>
      <c r="E123" s="128"/>
      <c r="F123" s="129"/>
      <c r="G123" s="130"/>
      <c r="H123" s="138"/>
      <c r="I123" s="182"/>
      <c r="J123" s="182"/>
      <c r="K123" s="142"/>
      <c r="L123" s="173"/>
      <c r="M123" s="173"/>
      <c r="N123" s="173"/>
      <c r="O123" s="173"/>
      <c r="P123" s="173"/>
      <c r="Q123" s="35"/>
      <c r="R123" s="58"/>
      <c r="S123" s="1"/>
      <c r="T123" s="1"/>
    </row>
    <row r="124" spans="1:20" s="33" customFormat="1" x14ac:dyDescent="0.2">
      <c r="A124" s="110"/>
      <c r="B124" s="111"/>
      <c r="C124" s="168"/>
      <c r="D124" s="169"/>
      <c r="E124" s="128"/>
      <c r="F124" s="129"/>
      <c r="G124" s="130"/>
      <c r="H124" s="138"/>
      <c r="I124" s="182"/>
      <c r="J124" s="182"/>
      <c r="K124" s="142"/>
      <c r="L124" s="173"/>
      <c r="M124" s="173"/>
      <c r="N124" s="173"/>
      <c r="O124" s="173"/>
      <c r="P124" s="173"/>
      <c r="Q124" s="35"/>
      <c r="R124" s="58"/>
      <c r="S124" s="1"/>
      <c r="T124" s="1"/>
    </row>
    <row r="125" spans="1:20" s="33" customFormat="1" x14ac:dyDescent="0.2">
      <c r="A125" s="110"/>
      <c r="B125" s="111"/>
      <c r="C125" s="168"/>
      <c r="D125" s="169"/>
      <c r="E125" s="128"/>
      <c r="F125" s="129"/>
      <c r="G125" s="130"/>
      <c r="H125" s="138"/>
      <c r="I125" s="182"/>
      <c r="J125" s="182"/>
      <c r="K125" s="142"/>
      <c r="L125" s="173"/>
      <c r="M125" s="173"/>
      <c r="N125" s="173"/>
      <c r="O125" s="173"/>
      <c r="P125" s="173"/>
      <c r="Q125" s="35"/>
      <c r="R125" s="58"/>
      <c r="S125" s="1"/>
      <c r="T125" s="1"/>
    </row>
    <row r="126" spans="1:20" s="33" customFormat="1" x14ac:dyDescent="0.2">
      <c r="A126" s="110"/>
      <c r="B126" s="111"/>
      <c r="C126" s="168"/>
      <c r="D126" s="169"/>
      <c r="E126" s="128"/>
      <c r="F126" s="129"/>
      <c r="G126" s="130"/>
      <c r="H126" s="138"/>
      <c r="I126" s="182"/>
      <c r="J126" s="182"/>
      <c r="K126" s="142"/>
      <c r="L126" s="173"/>
      <c r="M126" s="173"/>
      <c r="N126" s="173"/>
      <c r="O126" s="173"/>
      <c r="P126" s="173"/>
      <c r="Q126" s="35"/>
      <c r="R126" s="58"/>
      <c r="S126" s="1"/>
      <c r="T126" s="1"/>
    </row>
    <row r="127" spans="1:20" s="33" customFormat="1" x14ac:dyDescent="0.2">
      <c r="A127" s="110"/>
      <c r="B127" s="111"/>
      <c r="C127" s="168"/>
      <c r="D127" s="169"/>
      <c r="E127" s="128"/>
      <c r="F127" s="129"/>
      <c r="G127" s="130"/>
      <c r="H127" s="138"/>
      <c r="I127" s="182"/>
      <c r="J127" s="182"/>
      <c r="K127" s="142"/>
      <c r="L127" s="173"/>
      <c r="M127" s="173"/>
      <c r="N127" s="173"/>
      <c r="O127" s="173"/>
      <c r="P127" s="173"/>
      <c r="Q127" s="35"/>
      <c r="R127" s="58"/>
      <c r="S127" s="1"/>
      <c r="T127" s="1"/>
    </row>
    <row r="128" spans="1:20" s="33" customFormat="1" x14ac:dyDescent="0.2">
      <c r="A128" s="110"/>
      <c r="B128" s="111"/>
      <c r="C128" s="168"/>
      <c r="D128" s="169"/>
      <c r="E128" s="128"/>
      <c r="F128" s="129"/>
      <c r="G128" s="130"/>
      <c r="H128" s="138"/>
      <c r="I128" s="182"/>
      <c r="J128" s="182"/>
      <c r="K128" s="142"/>
      <c r="L128" s="173"/>
      <c r="M128" s="173"/>
      <c r="N128" s="173"/>
      <c r="O128" s="173"/>
      <c r="P128" s="173"/>
      <c r="Q128" s="35"/>
      <c r="R128" s="58"/>
      <c r="S128" s="1"/>
      <c r="T128" s="1"/>
    </row>
    <row r="129" spans="1:20" s="33" customFormat="1" x14ac:dyDescent="0.2">
      <c r="A129" s="110"/>
      <c r="B129" s="111"/>
      <c r="C129" s="168"/>
      <c r="D129" s="169"/>
      <c r="E129" s="128"/>
      <c r="F129" s="129"/>
      <c r="G129" s="130"/>
      <c r="H129" s="138"/>
      <c r="I129" s="182"/>
      <c r="J129" s="182"/>
      <c r="K129" s="142"/>
      <c r="L129" s="173"/>
      <c r="M129" s="173"/>
      <c r="N129" s="173"/>
      <c r="O129" s="173"/>
      <c r="P129" s="173"/>
      <c r="Q129" s="35"/>
      <c r="R129" s="58"/>
      <c r="S129" s="1"/>
      <c r="T129" s="1"/>
    </row>
    <row r="130" spans="1:20" s="33" customFormat="1" x14ac:dyDescent="0.2">
      <c r="A130" s="110"/>
      <c r="B130" s="111"/>
      <c r="C130" s="168"/>
      <c r="D130" s="169"/>
      <c r="E130" s="128"/>
      <c r="F130" s="129"/>
      <c r="G130" s="130"/>
      <c r="H130" s="138"/>
      <c r="I130" s="182"/>
      <c r="J130" s="182"/>
      <c r="K130" s="142"/>
      <c r="L130" s="173"/>
      <c r="M130" s="173"/>
      <c r="N130" s="173"/>
      <c r="O130" s="173"/>
      <c r="P130" s="173"/>
      <c r="Q130" s="35"/>
      <c r="R130" s="58"/>
      <c r="S130" s="1"/>
      <c r="T130" s="1"/>
    </row>
    <row r="131" spans="1:20" s="33" customFormat="1" x14ac:dyDescent="0.2">
      <c r="A131" s="110"/>
      <c r="B131" s="111"/>
      <c r="C131" s="168"/>
      <c r="D131" s="169"/>
      <c r="E131" s="128"/>
      <c r="F131" s="129"/>
      <c r="G131" s="130"/>
      <c r="H131" s="138"/>
      <c r="I131" s="182"/>
      <c r="J131" s="182"/>
      <c r="K131" s="142"/>
      <c r="L131" s="173"/>
      <c r="M131" s="173"/>
      <c r="N131" s="173"/>
      <c r="O131" s="173"/>
      <c r="P131" s="173"/>
      <c r="Q131" s="35"/>
      <c r="R131" s="58"/>
      <c r="S131" s="1"/>
      <c r="T131" s="1"/>
    </row>
    <row r="132" spans="1:20" s="33" customFormat="1" x14ac:dyDescent="0.2">
      <c r="A132" s="110"/>
      <c r="B132" s="111"/>
      <c r="C132" s="168"/>
      <c r="D132" s="169"/>
      <c r="E132" s="128"/>
      <c r="F132" s="129"/>
      <c r="G132" s="130"/>
      <c r="H132" s="138"/>
      <c r="I132" s="182"/>
      <c r="J132" s="182"/>
      <c r="K132" s="142"/>
      <c r="L132" s="173"/>
      <c r="M132" s="173"/>
      <c r="N132" s="173"/>
      <c r="O132" s="173"/>
      <c r="P132" s="173"/>
      <c r="Q132" s="35"/>
      <c r="R132" s="58"/>
      <c r="S132" s="1"/>
      <c r="T132" s="1"/>
    </row>
    <row r="133" spans="1:20" s="33" customFormat="1" x14ac:dyDescent="0.2">
      <c r="A133" s="110"/>
      <c r="B133" s="111"/>
      <c r="C133" s="168"/>
      <c r="D133" s="169"/>
      <c r="E133" s="128"/>
      <c r="F133" s="129"/>
      <c r="G133" s="130"/>
      <c r="H133" s="138"/>
      <c r="I133" s="182"/>
      <c r="J133" s="182"/>
      <c r="K133" s="142"/>
      <c r="L133" s="173"/>
      <c r="M133" s="173"/>
      <c r="N133" s="173"/>
      <c r="O133" s="173"/>
      <c r="P133" s="173"/>
      <c r="Q133" s="35"/>
      <c r="R133" s="58"/>
      <c r="S133" s="1"/>
      <c r="T133" s="1"/>
    </row>
    <row r="134" spans="1:20" s="33" customFormat="1" x14ac:dyDescent="0.2">
      <c r="A134" s="110"/>
      <c r="B134" s="111"/>
      <c r="C134" s="168"/>
      <c r="D134" s="169"/>
      <c r="E134" s="128"/>
      <c r="F134" s="129"/>
      <c r="G134" s="130"/>
      <c r="H134" s="138"/>
      <c r="I134" s="182"/>
      <c r="J134" s="182"/>
      <c r="K134" s="142"/>
      <c r="L134" s="173"/>
      <c r="M134" s="173"/>
      <c r="N134" s="173"/>
      <c r="O134" s="173"/>
      <c r="P134" s="173"/>
      <c r="Q134" s="35"/>
      <c r="R134" s="58"/>
      <c r="S134" s="1"/>
      <c r="T134" s="1"/>
    </row>
    <row r="135" spans="1:20" s="33" customFormat="1" x14ac:dyDescent="0.2">
      <c r="A135" s="110"/>
      <c r="B135" s="111"/>
      <c r="C135" s="168"/>
      <c r="D135" s="169"/>
      <c r="E135" s="128"/>
      <c r="F135" s="129"/>
      <c r="G135" s="130"/>
      <c r="H135" s="138"/>
      <c r="I135" s="182"/>
      <c r="J135" s="182"/>
      <c r="K135" s="142"/>
      <c r="L135" s="173"/>
      <c r="M135" s="173"/>
      <c r="N135" s="173"/>
      <c r="O135" s="173"/>
      <c r="P135" s="173"/>
      <c r="Q135" s="35"/>
      <c r="R135" s="58"/>
      <c r="S135" s="1"/>
      <c r="T135" s="1"/>
    </row>
    <row r="136" spans="1:20" s="33" customFormat="1" x14ac:dyDescent="0.2">
      <c r="A136" s="110"/>
      <c r="B136" s="111"/>
      <c r="C136" s="168"/>
      <c r="D136" s="169"/>
      <c r="E136" s="128"/>
      <c r="F136" s="129"/>
      <c r="G136" s="130"/>
      <c r="H136" s="138"/>
      <c r="I136" s="182"/>
      <c r="J136" s="182"/>
      <c r="K136" s="142"/>
      <c r="L136" s="173"/>
      <c r="M136" s="173"/>
      <c r="N136" s="173"/>
      <c r="O136" s="173"/>
      <c r="P136" s="173"/>
      <c r="Q136" s="35"/>
      <c r="R136" s="58"/>
      <c r="S136" s="1"/>
      <c r="T136" s="1"/>
    </row>
    <row r="137" spans="1:20" s="33" customFormat="1" x14ac:dyDescent="0.2">
      <c r="A137" s="110"/>
      <c r="B137" s="111"/>
      <c r="C137" s="168"/>
      <c r="D137" s="169"/>
      <c r="E137" s="128"/>
      <c r="F137" s="129"/>
      <c r="G137" s="130"/>
      <c r="H137" s="138"/>
      <c r="I137" s="182"/>
      <c r="J137" s="182"/>
      <c r="K137" s="142"/>
      <c r="L137" s="173"/>
      <c r="M137" s="173"/>
      <c r="N137" s="173"/>
      <c r="O137" s="173"/>
      <c r="P137" s="173"/>
      <c r="Q137" s="35"/>
      <c r="R137" s="58"/>
      <c r="S137" s="1"/>
      <c r="T137" s="1"/>
    </row>
    <row r="138" spans="1:20" s="33" customFormat="1" x14ac:dyDescent="0.2">
      <c r="A138" s="110"/>
      <c r="B138" s="111"/>
      <c r="C138" s="168"/>
      <c r="D138" s="169"/>
      <c r="E138" s="128"/>
      <c r="F138" s="129"/>
      <c r="G138" s="130"/>
      <c r="H138" s="138"/>
      <c r="I138" s="182"/>
      <c r="J138" s="182"/>
      <c r="K138" s="142"/>
      <c r="L138" s="173"/>
      <c r="M138" s="173"/>
      <c r="N138" s="173"/>
      <c r="O138" s="173"/>
      <c r="P138" s="173"/>
      <c r="Q138" s="35"/>
      <c r="R138" s="58"/>
      <c r="S138" s="1"/>
      <c r="T138" s="1"/>
    </row>
    <row r="139" spans="1:20" s="33" customFormat="1" x14ac:dyDescent="0.2">
      <c r="A139" s="110"/>
      <c r="B139" s="111"/>
      <c r="C139" s="168"/>
      <c r="D139" s="169"/>
      <c r="E139" s="128"/>
      <c r="F139" s="129"/>
      <c r="G139" s="130"/>
      <c r="H139" s="138"/>
      <c r="I139" s="182"/>
      <c r="J139" s="182"/>
      <c r="K139" s="142"/>
      <c r="L139" s="173"/>
      <c r="M139" s="173"/>
      <c r="N139" s="173"/>
      <c r="O139" s="173"/>
      <c r="P139" s="173"/>
      <c r="Q139" s="35"/>
      <c r="R139" s="58"/>
      <c r="S139" s="1"/>
      <c r="T139" s="1"/>
    </row>
    <row r="140" spans="1:20" s="33" customFormat="1" x14ac:dyDescent="0.2">
      <c r="A140" s="110"/>
      <c r="B140" s="111"/>
      <c r="C140" s="168"/>
      <c r="D140" s="169"/>
      <c r="E140" s="128"/>
      <c r="F140" s="129"/>
      <c r="G140" s="130"/>
      <c r="H140" s="138"/>
      <c r="I140" s="182"/>
      <c r="J140" s="182"/>
      <c r="K140" s="142"/>
      <c r="L140" s="173"/>
      <c r="M140" s="173"/>
      <c r="N140" s="173"/>
      <c r="O140" s="173"/>
      <c r="P140" s="173"/>
      <c r="Q140" s="35"/>
      <c r="R140" s="58"/>
      <c r="S140" s="1"/>
      <c r="T140" s="1"/>
    </row>
    <row r="141" spans="1:20" s="33" customFormat="1" x14ac:dyDescent="0.2">
      <c r="A141" s="110"/>
      <c r="B141" s="111"/>
      <c r="C141" s="168"/>
      <c r="D141" s="169"/>
      <c r="E141" s="128"/>
      <c r="F141" s="129"/>
      <c r="G141" s="130"/>
      <c r="H141" s="138"/>
      <c r="I141" s="182"/>
      <c r="J141" s="182"/>
      <c r="K141" s="142"/>
      <c r="L141" s="173"/>
      <c r="M141" s="173"/>
      <c r="N141" s="173"/>
      <c r="O141" s="173"/>
      <c r="P141" s="173"/>
      <c r="Q141" s="35"/>
      <c r="R141" s="58"/>
      <c r="S141" s="1"/>
      <c r="T141" s="1"/>
    </row>
    <row r="142" spans="1:20" s="33" customFormat="1" x14ac:dyDescent="0.2">
      <c r="A142" s="110"/>
      <c r="B142" s="111"/>
      <c r="C142" s="168"/>
      <c r="D142" s="169"/>
      <c r="E142" s="128"/>
      <c r="F142" s="129"/>
      <c r="G142" s="130"/>
      <c r="H142" s="138"/>
      <c r="I142" s="182"/>
      <c r="J142" s="182"/>
      <c r="K142" s="142"/>
      <c r="L142" s="173"/>
      <c r="M142" s="173"/>
      <c r="N142" s="173"/>
      <c r="O142" s="173"/>
      <c r="P142" s="173"/>
      <c r="Q142" s="35"/>
      <c r="R142" s="58"/>
      <c r="S142" s="1"/>
      <c r="T142" s="1"/>
    </row>
    <row r="143" spans="1:20" s="33" customFormat="1" x14ac:dyDescent="0.2">
      <c r="A143" s="110"/>
      <c r="B143" s="111"/>
      <c r="C143" s="168"/>
      <c r="D143" s="169"/>
      <c r="E143" s="128"/>
      <c r="F143" s="129"/>
      <c r="G143" s="130"/>
      <c r="H143" s="138"/>
      <c r="I143" s="182"/>
      <c r="J143" s="182"/>
      <c r="K143" s="142"/>
      <c r="L143" s="173"/>
      <c r="M143" s="173"/>
      <c r="N143" s="173"/>
      <c r="O143" s="173"/>
      <c r="P143" s="173"/>
      <c r="Q143" s="35"/>
      <c r="R143" s="58"/>
      <c r="S143" s="1"/>
      <c r="T143" s="1"/>
    </row>
    <row r="144" spans="1:20" s="33" customFormat="1" x14ac:dyDescent="0.2">
      <c r="A144" s="110"/>
      <c r="B144" s="111"/>
      <c r="C144" s="168"/>
      <c r="D144" s="169"/>
      <c r="E144" s="128"/>
      <c r="F144" s="129"/>
      <c r="G144" s="130"/>
      <c r="H144" s="138"/>
      <c r="I144" s="182"/>
      <c r="J144" s="182"/>
      <c r="K144" s="142"/>
      <c r="L144" s="173"/>
      <c r="M144" s="173"/>
      <c r="N144" s="173"/>
      <c r="O144" s="173"/>
      <c r="P144" s="173"/>
      <c r="Q144" s="35"/>
      <c r="R144" s="58"/>
      <c r="S144" s="1"/>
      <c r="T144" s="1"/>
    </row>
    <row r="145" spans="1:20" s="33" customFormat="1" x14ac:dyDescent="0.2">
      <c r="A145" s="110"/>
      <c r="B145" s="111"/>
      <c r="C145" s="168"/>
      <c r="D145" s="169"/>
      <c r="E145" s="128"/>
      <c r="F145" s="129"/>
      <c r="G145" s="130"/>
      <c r="H145" s="138"/>
      <c r="I145" s="182"/>
      <c r="J145" s="182"/>
      <c r="K145" s="142"/>
      <c r="L145" s="173"/>
      <c r="M145" s="173"/>
      <c r="N145" s="173"/>
      <c r="O145" s="173"/>
      <c r="P145" s="173"/>
      <c r="Q145" s="35"/>
      <c r="R145" s="58"/>
      <c r="S145" s="1"/>
      <c r="T145" s="1"/>
    </row>
    <row r="146" spans="1:20" s="33" customFormat="1" x14ac:dyDescent="0.2">
      <c r="A146" s="110"/>
      <c r="B146" s="111"/>
      <c r="C146" s="168"/>
      <c r="D146" s="169"/>
      <c r="E146" s="128"/>
      <c r="F146" s="129"/>
      <c r="G146" s="130"/>
      <c r="H146" s="138"/>
      <c r="I146" s="182"/>
      <c r="J146" s="182"/>
      <c r="K146" s="142"/>
      <c r="L146" s="173"/>
      <c r="M146" s="173"/>
      <c r="N146" s="173"/>
      <c r="O146" s="173"/>
      <c r="P146" s="173"/>
      <c r="Q146" s="35"/>
      <c r="R146" s="58"/>
      <c r="S146" s="1"/>
      <c r="T146" s="1"/>
    </row>
    <row r="147" spans="1:20" s="33" customFormat="1" x14ac:dyDescent="0.2">
      <c r="A147" s="110"/>
      <c r="B147" s="111"/>
      <c r="C147" s="168"/>
      <c r="D147" s="169"/>
      <c r="E147" s="128"/>
      <c r="F147" s="129"/>
      <c r="G147" s="130"/>
      <c r="H147" s="138"/>
      <c r="I147" s="182"/>
      <c r="J147" s="182"/>
      <c r="K147" s="142"/>
      <c r="L147" s="173"/>
      <c r="M147" s="173"/>
      <c r="N147" s="173"/>
      <c r="O147" s="173"/>
      <c r="P147" s="173"/>
      <c r="Q147" s="35"/>
      <c r="R147" s="58"/>
      <c r="S147" s="1"/>
      <c r="T147" s="1"/>
    </row>
    <row r="148" spans="1:20" s="33" customFormat="1" x14ac:dyDescent="0.2">
      <c r="A148" s="110"/>
      <c r="B148" s="111"/>
      <c r="C148" s="168"/>
      <c r="D148" s="169"/>
      <c r="E148" s="128"/>
      <c r="F148" s="129"/>
      <c r="G148" s="130"/>
      <c r="H148" s="138"/>
      <c r="I148" s="182"/>
      <c r="J148" s="182"/>
      <c r="K148" s="142"/>
      <c r="L148" s="173"/>
      <c r="M148" s="173"/>
      <c r="N148" s="173"/>
      <c r="O148" s="173"/>
      <c r="P148" s="173"/>
      <c r="Q148" s="35"/>
      <c r="R148" s="58"/>
      <c r="S148" s="1"/>
      <c r="T148" s="1"/>
    </row>
    <row r="149" spans="1:20" s="33" customFormat="1" x14ac:dyDescent="0.2">
      <c r="A149" s="110"/>
      <c r="B149" s="111"/>
      <c r="C149" s="168"/>
      <c r="D149" s="169"/>
      <c r="E149" s="128"/>
      <c r="F149" s="129"/>
      <c r="G149" s="130"/>
      <c r="H149" s="138"/>
      <c r="I149" s="182"/>
      <c r="J149" s="182"/>
      <c r="K149" s="142"/>
      <c r="L149" s="173"/>
      <c r="M149" s="173"/>
      <c r="N149" s="173"/>
      <c r="O149" s="173"/>
      <c r="P149" s="173"/>
      <c r="Q149" s="35"/>
      <c r="R149" s="58"/>
      <c r="S149" s="1"/>
      <c r="T149" s="1"/>
    </row>
    <row r="150" spans="1:20" s="33" customFormat="1" x14ac:dyDescent="0.2">
      <c r="A150" s="110"/>
      <c r="B150" s="111"/>
      <c r="C150" s="168"/>
      <c r="D150" s="169"/>
      <c r="E150" s="128"/>
      <c r="F150" s="129"/>
      <c r="G150" s="130"/>
      <c r="H150" s="138"/>
      <c r="I150" s="182"/>
      <c r="J150" s="182"/>
      <c r="K150" s="142"/>
      <c r="L150" s="173"/>
      <c r="M150" s="173"/>
      <c r="N150" s="173"/>
      <c r="O150" s="173"/>
      <c r="P150" s="173"/>
      <c r="Q150" s="35"/>
      <c r="R150" s="58"/>
      <c r="S150" s="1"/>
      <c r="T150" s="1"/>
    </row>
    <row r="151" spans="1:20" s="33" customFormat="1" x14ac:dyDescent="0.2">
      <c r="A151" s="110"/>
      <c r="B151" s="111"/>
      <c r="C151" s="168"/>
      <c r="D151" s="169"/>
      <c r="E151" s="128"/>
      <c r="F151" s="129"/>
      <c r="G151" s="130"/>
      <c r="H151" s="138"/>
      <c r="I151" s="182"/>
      <c r="J151" s="182"/>
      <c r="K151" s="142"/>
      <c r="L151" s="173"/>
      <c r="M151" s="173"/>
      <c r="N151" s="173"/>
      <c r="O151" s="173"/>
      <c r="P151" s="173"/>
      <c r="Q151" s="35"/>
      <c r="R151" s="58"/>
      <c r="S151" s="1"/>
      <c r="T151" s="1"/>
    </row>
    <row r="152" spans="1:20" s="33" customFormat="1" x14ac:dyDescent="0.2">
      <c r="A152" s="110"/>
      <c r="B152" s="111"/>
      <c r="C152" s="168"/>
      <c r="D152" s="169"/>
      <c r="E152" s="128"/>
      <c r="F152" s="129"/>
      <c r="G152" s="130"/>
      <c r="H152" s="138"/>
      <c r="I152" s="182"/>
      <c r="J152" s="182"/>
      <c r="K152" s="142"/>
      <c r="L152" s="173"/>
      <c r="M152" s="173"/>
      <c r="N152" s="173"/>
      <c r="O152" s="173"/>
      <c r="P152" s="173"/>
      <c r="Q152" s="35"/>
      <c r="R152" s="58"/>
      <c r="S152" s="1"/>
      <c r="T152" s="1"/>
    </row>
    <row r="153" spans="1:20" s="33" customFormat="1" x14ac:dyDescent="0.2">
      <c r="A153" s="110"/>
      <c r="B153" s="111"/>
      <c r="C153" s="168"/>
      <c r="D153" s="169"/>
      <c r="E153" s="128"/>
      <c r="F153" s="129"/>
      <c r="G153" s="130"/>
      <c r="H153" s="138"/>
      <c r="I153" s="182"/>
      <c r="J153" s="182"/>
      <c r="K153" s="142"/>
      <c r="L153" s="173"/>
      <c r="M153" s="173"/>
      <c r="N153" s="173"/>
      <c r="O153" s="173"/>
      <c r="P153" s="173"/>
      <c r="Q153" s="35"/>
      <c r="R153" s="58"/>
      <c r="S153" s="1"/>
      <c r="T153" s="1"/>
    </row>
    <row r="154" spans="1:20" s="33" customFormat="1" x14ac:dyDescent="0.2">
      <c r="A154" s="110"/>
      <c r="B154" s="111"/>
      <c r="C154" s="168"/>
      <c r="D154" s="169"/>
      <c r="E154" s="128"/>
      <c r="F154" s="129"/>
      <c r="G154" s="130"/>
      <c r="H154" s="138"/>
      <c r="I154" s="182"/>
      <c r="J154" s="182"/>
      <c r="K154" s="142"/>
      <c r="L154" s="173"/>
      <c r="M154" s="173"/>
      <c r="N154" s="173"/>
      <c r="O154" s="173"/>
      <c r="P154" s="173"/>
      <c r="Q154" s="35"/>
      <c r="R154" s="58"/>
      <c r="S154" s="1"/>
      <c r="T154" s="1"/>
    </row>
    <row r="155" spans="1:20" s="33" customFormat="1" x14ac:dyDescent="0.2">
      <c r="A155" s="110"/>
      <c r="B155" s="111"/>
      <c r="C155" s="168"/>
      <c r="D155" s="169"/>
      <c r="E155" s="128"/>
      <c r="F155" s="129"/>
      <c r="G155" s="130"/>
      <c r="H155" s="138"/>
      <c r="I155" s="182"/>
      <c r="J155" s="182"/>
      <c r="K155" s="142"/>
      <c r="L155" s="173"/>
      <c r="M155" s="173"/>
      <c r="N155" s="173"/>
      <c r="O155" s="173"/>
      <c r="P155" s="173"/>
      <c r="Q155" s="35"/>
      <c r="R155" s="58"/>
      <c r="S155" s="1"/>
      <c r="T155" s="1"/>
    </row>
    <row r="156" spans="1:20" s="33" customFormat="1" x14ac:dyDescent="0.2">
      <c r="A156" s="110"/>
      <c r="B156" s="111"/>
      <c r="C156" s="168"/>
      <c r="D156" s="169"/>
      <c r="E156" s="128"/>
      <c r="F156" s="129"/>
      <c r="G156" s="130"/>
      <c r="H156" s="138"/>
      <c r="I156" s="182"/>
      <c r="J156" s="182"/>
      <c r="K156" s="142"/>
      <c r="L156" s="173"/>
      <c r="M156" s="173"/>
      <c r="N156" s="173"/>
      <c r="O156" s="173"/>
      <c r="P156" s="173"/>
      <c r="Q156" s="35"/>
      <c r="R156" s="58"/>
      <c r="S156" s="1"/>
      <c r="T156" s="1"/>
    </row>
    <row r="157" spans="1:20" s="33" customFormat="1" x14ac:dyDescent="0.2">
      <c r="A157" s="110"/>
      <c r="B157" s="111"/>
      <c r="C157" s="168"/>
      <c r="D157" s="169"/>
      <c r="E157" s="128"/>
      <c r="F157" s="129"/>
      <c r="G157" s="130"/>
      <c r="H157" s="138"/>
      <c r="I157" s="182"/>
      <c r="J157" s="182"/>
      <c r="K157" s="142"/>
      <c r="L157" s="173"/>
      <c r="M157" s="173"/>
      <c r="N157" s="173"/>
      <c r="O157" s="173"/>
      <c r="P157" s="173"/>
      <c r="Q157" s="35"/>
      <c r="R157" s="58"/>
      <c r="S157" s="1"/>
      <c r="T157" s="1"/>
    </row>
    <row r="158" spans="1:20" s="33" customFormat="1" x14ac:dyDescent="0.2">
      <c r="A158" s="110"/>
      <c r="B158" s="111"/>
      <c r="C158" s="168"/>
      <c r="D158" s="169"/>
      <c r="E158" s="128"/>
      <c r="F158" s="129"/>
      <c r="G158" s="130"/>
      <c r="H158" s="138"/>
      <c r="I158" s="182"/>
      <c r="J158" s="182"/>
      <c r="K158" s="142"/>
      <c r="L158" s="173"/>
      <c r="M158" s="173"/>
      <c r="N158" s="173"/>
      <c r="O158" s="173"/>
      <c r="P158" s="173"/>
      <c r="Q158" s="35"/>
      <c r="R158" s="58"/>
      <c r="S158" s="1"/>
      <c r="T158" s="1"/>
    </row>
    <row r="159" spans="1:20" s="33" customFormat="1" x14ac:dyDescent="0.2">
      <c r="A159" s="110"/>
      <c r="B159" s="111"/>
      <c r="C159" s="168"/>
      <c r="D159" s="169"/>
      <c r="E159" s="128"/>
      <c r="F159" s="129"/>
      <c r="G159" s="130"/>
      <c r="H159" s="138"/>
      <c r="I159" s="182"/>
      <c r="J159" s="182"/>
      <c r="K159" s="142"/>
      <c r="L159" s="173"/>
      <c r="M159" s="173"/>
      <c r="N159" s="173"/>
      <c r="O159" s="173"/>
      <c r="P159" s="173"/>
      <c r="Q159" s="35"/>
      <c r="R159" s="58"/>
      <c r="S159" s="1"/>
      <c r="T159" s="1"/>
    </row>
    <row r="160" spans="1:20" s="33" customFormat="1" x14ac:dyDescent="0.2">
      <c r="A160" s="110"/>
      <c r="B160" s="111"/>
      <c r="C160" s="168"/>
      <c r="D160" s="169"/>
      <c r="E160" s="128"/>
      <c r="F160" s="129"/>
      <c r="G160" s="130"/>
      <c r="H160" s="138"/>
      <c r="I160" s="182"/>
      <c r="J160" s="182"/>
      <c r="K160" s="142"/>
      <c r="L160" s="173"/>
      <c r="M160" s="173"/>
      <c r="N160" s="173"/>
      <c r="O160" s="173"/>
      <c r="P160" s="173"/>
      <c r="Q160" s="35"/>
      <c r="R160" s="58"/>
      <c r="S160" s="1"/>
      <c r="T160" s="1"/>
    </row>
    <row r="161" spans="1:20" s="33" customFormat="1" x14ac:dyDescent="0.2">
      <c r="A161" s="110"/>
      <c r="B161" s="111"/>
      <c r="C161" s="168"/>
      <c r="D161" s="169"/>
      <c r="E161" s="128"/>
      <c r="F161" s="129"/>
      <c r="G161" s="130"/>
      <c r="H161" s="138"/>
      <c r="I161" s="182"/>
      <c r="J161" s="182"/>
      <c r="K161" s="142"/>
      <c r="L161" s="173"/>
      <c r="M161" s="173"/>
      <c r="N161" s="173"/>
      <c r="O161" s="173"/>
      <c r="P161" s="173"/>
      <c r="Q161" s="35"/>
      <c r="R161" s="58"/>
      <c r="S161" s="1"/>
      <c r="T161" s="1"/>
    </row>
    <row r="162" spans="1:20" s="33" customFormat="1" x14ac:dyDescent="0.2">
      <c r="A162" s="110"/>
      <c r="B162" s="111"/>
      <c r="C162" s="168"/>
      <c r="D162" s="169"/>
      <c r="E162" s="128"/>
      <c r="F162" s="129"/>
      <c r="G162" s="130"/>
      <c r="H162" s="138"/>
      <c r="I162" s="182"/>
      <c r="J162" s="182"/>
      <c r="K162" s="142"/>
      <c r="L162" s="173"/>
      <c r="M162" s="173"/>
      <c r="N162" s="173"/>
      <c r="O162" s="173"/>
      <c r="P162" s="173"/>
      <c r="Q162" s="35"/>
      <c r="R162" s="58"/>
      <c r="S162" s="1"/>
      <c r="T162" s="1"/>
    </row>
    <row r="163" spans="1:20" s="33" customFormat="1" x14ac:dyDescent="0.2">
      <c r="A163" s="110"/>
      <c r="B163" s="111"/>
      <c r="C163" s="168"/>
      <c r="D163" s="169"/>
      <c r="E163" s="128"/>
      <c r="F163" s="129"/>
      <c r="G163" s="130"/>
      <c r="H163" s="138"/>
      <c r="I163" s="182"/>
      <c r="J163" s="182"/>
      <c r="K163" s="142"/>
      <c r="L163" s="173"/>
      <c r="M163" s="173"/>
      <c r="N163" s="173"/>
      <c r="O163" s="173"/>
      <c r="P163" s="173"/>
      <c r="Q163" s="35"/>
      <c r="R163" s="58"/>
      <c r="S163" s="1"/>
      <c r="T163" s="1"/>
    </row>
    <row r="164" spans="1:20" s="33" customFormat="1" x14ac:dyDescent="0.2">
      <c r="A164" s="110"/>
      <c r="B164" s="111"/>
      <c r="C164" s="168"/>
      <c r="D164" s="169"/>
      <c r="E164" s="128"/>
      <c r="F164" s="129"/>
      <c r="G164" s="130"/>
      <c r="H164" s="138"/>
      <c r="I164" s="182"/>
      <c r="J164" s="182"/>
      <c r="K164" s="142"/>
      <c r="L164" s="173"/>
      <c r="M164" s="173"/>
      <c r="N164" s="173"/>
      <c r="O164" s="173"/>
      <c r="P164" s="173"/>
      <c r="Q164" s="35"/>
      <c r="R164" s="58"/>
      <c r="S164" s="1"/>
      <c r="T164" s="1"/>
    </row>
    <row r="165" spans="1:20" s="33" customFormat="1" x14ac:dyDescent="0.2">
      <c r="A165" s="110"/>
      <c r="B165" s="111"/>
      <c r="C165" s="168"/>
      <c r="D165" s="169"/>
      <c r="E165" s="128"/>
      <c r="F165" s="129"/>
      <c r="G165" s="130"/>
      <c r="H165" s="138"/>
      <c r="I165" s="182"/>
      <c r="J165" s="182"/>
      <c r="K165" s="142"/>
      <c r="L165" s="173"/>
      <c r="M165" s="173"/>
      <c r="N165" s="173"/>
      <c r="O165" s="173"/>
      <c r="P165" s="173"/>
      <c r="Q165" s="35"/>
      <c r="R165" s="58"/>
      <c r="S165" s="1"/>
      <c r="T165" s="1"/>
    </row>
    <row r="166" spans="1:20" s="33" customFormat="1" x14ac:dyDescent="0.2">
      <c r="A166" s="110"/>
      <c r="B166" s="111"/>
      <c r="C166" s="168"/>
      <c r="D166" s="169"/>
      <c r="E166" s="128"/>
      <c r="F166" s="129"/>
      <c r="G166" s="130"/>
      <c r="H166" s="138"/>
      <c r="I166" s="182"/>
      <c r="J166" s="182"/>
      <c r="K166" s="142"/>
      <c r="L166" s="173"/>
      <c r="M166" s="173"/>
      <c r="N166" s="173"/>
      <c r="O166" s="173"/>
      <c r="P166" s="173"/>
      <c r="Q166" s="35"/>
      <c r="R166" s="58"/>
      <c r="S166" s="1"/>
      <c r="T166" s="1"/>
    </row>
    <row r="167" spans="1:20" s="33" customFormat="1" x14ac:dyDescent="0.2">
      <c r="A167" s="110"/>
      <c r="B167" s="111"/>
      <c r="C167" s="168"/>
      <c r="D167" s="169"/>
      <c r="E167" s="128"/>
      <c r="F167" s="129"/>
      <c r="G167" s="130"/>
      <c r="H167" s="138"/>
      <c r="I167" s="182"/>
      <c r="J167" s="182"/>
      <c r="K167" s="142"/>
      <c r="L167" s="173"/>
      <c r="M167" s="173"/>
      <c r="N167" s="173"/>
      <c r="O167" s="173"/>
      <c r="P167" s="173"/>
      <c r="Q167" s="35"/>
      <c r="R167" s="58"/>
      <c r="S167" s="1"/>
      <c r="T167" s="1"/>
    </row>
    <row r="168" spans="1:20" s="33" customFormat="1" x14ac:dyDescent="0.2">
      <c r="A168" s="110"/>
      <c r="B168" s="111"/>
      <c r="C168" s="168"/>
      <c r="D168" s="169"/>
      <c r="E168" s="128"/>
      <c r="F168" s="129"/>
      <c r="G168" s="130"/>
      <c r="H168" s="138"/>
      <c r="I168" s="182"/>
      <c r="J168" s="182"/>
      <c r="K168" s="142"/>
      <c r="L168" s="173"/>
      <c r="M168" s="173"/>
      <c r="N168" s="173"/>
      <c r="O168" s="173"/>
      <c r="P168" s="173"/>
      <c r="Q168" s="35"/>
      <c r="R168" s="58"/>
      <c r="S168" s="1"/>
      <c r="T168" s="1"/>
    </row>
    <row r="169" spans="1:20" s="33" customFormat="1" x14ac:dyDescent="0.2">
      <c r="A169" s="110"/>
      <c r="B169" s="111"/>
      <c r="C169" s="168"/>
      <c r="D169" s="169"/>
      <c r="E169" s="128"/>
      <c r="F169" s="129"/>
      <c r="G169" s="130"/>
      <c r="H169" s="138"/>
      <c r="I169" s="182"/>
      <c r="J169" s="182"/>
      <c r="K169" s="142"/>
      <c r="L169" s="173"/>
      <c r="M169" s="173"/>
      <c r="N169" s="173"/>
      <c r="O169" s="173"/>
      <c r="P169" s="173"/>
      <c r="Q169" s="35"/>
      <c r="R169" s="58"/>
      <c r="S169" s="1"/>
      <c r="T169" s="1"/>
    </row>
    <row r="170" spans="1:20" s="33" customFormat="1" x14ac:dyDescent="0.2">
      <c r="A170" s="110"/>
      <c r="B170" s="111"/>
      <c r="C170" s="168"/>
      <c r="D170" s="169"/>
      <c r="E170" s="128"/>
      <c r="F170" s="129"/>
      <c r="G170" s="130"/>
      <c r="H170" s="138"/>
      <c r="I170" s="182"/>
      <c r="J170" s="182"/>
      <c r="K170" s="142"/>
      <c r="L170" s="173"/>
      <c r="M170" s="173"/>
      <c r="N170" s="173"/>
      <c r="O170" s="173"/>
      <c r="P170" s="173"/>
      <c r="Q170" s="35"/>
      <c r="R170" s="58"/>
      <c r="S170" s="1"/>
      <c r="T170" s="1"/>
    </row>
    <row r="171" spans="1:20" s="33" customFormat="1" x14ac:dyDescent="0.2">
      <c r="A171" s="110"/>
      <c r="B171" s="111"/>
      <c r="C171" s="168"/>
      <c r="D171" s="169"/>
      <c r="E171" s="128"/>
      <c r="F171" s="129"/>
      <c r="G171" s="130"/>
      <c r="H171" s="138"/>
      <c r="I171" s="182"/>
      <c r="J171" s="182"/>
      <c r="K171" s="142"/>
      <c r="L171" s="173"/>
      <c r="M171" s="173"/>
      <c r="N171" s="173"/>
      <c r="O171" s="173"/>
      <c r="P171" s="173"/>
      <c r="Q171" s="35"/>
      <c r="R171" s="58"/>
      <c r="S171" s="1"/>
      <c r="T171" s="1"/>
    </row>
    <row r="172" spans="1:20" s="33" customFormat="1" x14ac:dyDescent="0.2">
      <c r="A172" s="110"/>
      <c r="B172" s="111"/>
      <c r="C172" s="168"/>
      <c r="D172" s="169"/>
      <c r="E172" s="128"/>
      <c r="F172" s="129"/>
      <c r="G172" s="130"/>
      <c r="H172" s="138"/>
      <c r="I172" s="182"/>
      <c r="J172" s="182"/>
      <c r="K172" s="142"/>
      <c r="L172" s="173"/>
      <c r="M172" s="173"/>
      <c r="N172" s="173"/>
      <c r="O172" s="173"/>
      <c r="P172" s="173"/>
      <c r="Q172" s="35"/>
      <c r="R172" s="58"/>
      <c r="S172" s="1"/>
      <c r="T172" s="1"/>
    </row>
    <row r="173" spans="1:20" s="33" customFormat="1" x14ac:dyDescent="0.2">
      <c r="A173" s="110"/>
      <c r="B173" s="111"/>
      <c r="C173" s="168"/>
      <c r="D173" s="169"/>
      <c r="E173" s="128"/>
      <c r="F173" s="129"/>
      <c r="G173" s="130"/>
      <c r="H173" s="138"/>
      <c r="I173" s="182"/>
      <c r="J173" s="182"/>
      <c r="K173" s="142"/>
      <c r="L173" s="173"/>
      <c r="M173" s="173"/>
      <c r="N173" s="173"/>
      <c r="O173" s="173"/>
      <c r="P173" s="173"/>
      <c r="Q173" s="35"/>
      <c r="R173" s="58"/>
      <c r="S173" s="1"/>
      <c r="T173" s="1"/>
    </row>
    <row r="174" spans="1:20" s="33" customFormat="1" x14ac:dyDescent="0.2">
      <c r="A174" s="110"/>
      <c r="B174" s="111"/>
      <c r="C174" s="168"/>
      <c r="D174" s="169"/>
      <c r="E174" s="128"/>
      <c r="F174" s="129"/>
      <c r="G174" s="130"/>
      <c r="H174" s="138"/>
      <c r="I174" s="182"/>
      <c r="J174" s="182"/>
      <c r="K174" s="142"/>
      <c r="L174" s="173"/>
      <c r="M174" s="173"/>
      <c r="N174" s="173"/>
      <c r="O174" s="173"/>
      <c r="P174" s="173"/>
      <c r="Q174" s="35"/>
      <c r="R174" s="58"/>
      <c r="S174" s="1"/>
      <c r="T174" s="1"/>
    </row>
    <row r="175" spans="1:20" s="33" customFormat="1" x14ac:dyDescent="0.2">
      <c r="A175" s="110"/>
      <c r="B175" s="111"/>
      <c r="C175" s="168"/>
      <c r="D175" s="169"/>
      <c r="E175" s="128"/>
      <c r="F175" s="129"/>
      <c r="G175" s="130"/>
      <c r="H175" s="138"/>
      <c r="I175" s="182"/>
      <c r="J175" s="182"/>
      <c r="K175" s="142"/>
      <c r="L175" s="173"/>
      <c r="M175" s="173"/>
      <c r="N175" s="173"/>
      <c r="O175" s="173"/>
      <c r="P175" s="173"/>
      <c r="Q175" s="35"/>
      <c r="R175" s="58"/>
      <c r="S175" s="1"/>
      <c r="T175" s="1"/>
    </row>
    <row r="176" spans="1:20" s="33" customFormat="1" x14ac:dyDescent="0.2">
      <c r="A176" s="110"/>
      <c r="B176" s="111"/>
      <c r="C176" s="168"/>
      <c r="D176" s="169"/>
      <c r="E176" s="128"/>
      <c r="F176" s="129"/>
      <c r="G176" s="130"/>
      <c r="H176" s="138"/>
      <c r="I176" s="182"/>
      <c r="J176" s="182"/>
      <c r="K176" s="142"/>
      <c r="L176" s="173"/>
      <c r="M176" s="173"/>
      <c r="N176" s="173"/>
      <c r="O176" s="173"/>
      <c r="P176" s="173"/>
      <c r="Q176" s="35"/>
      <c r="R176" s="58"/>
      <c r="S176" s="1"/>
      <c r="T176" s="1"/>
    </row>
    <row r="177" spans="1:20" s="33" customFormat="1" x14ac:dyDescent="0.2">
      <c r="A177" s="110"/>
      <c r="B177" s="111"/>
      <c r="C177" s="168"/>
      <c r="D177" s="169"/>
      <c r="E177" s="128"/>
      <c r="F177" s="129"/>
      <c r="G177" s="130"/>
      <c r="H177" s="138"/>
      <c r="I177" s="182"/>
      <c r="J177" s="182"/>
      <c r="K177" s="142"/>
      <c r="L177" s="173"/>
      <c r="M177" s="173"/>
      <c r="N177" s="173"/>
      <c r="O177" s="173"/>
      <c r="P177" s="173"/>
      <c r="Q177" s="35"/>
      <c r="R177" s="58"/>
      <c r="S177" s="1"/>
      <c r="T177" s="1"/>
    </row>
    <row r="178" spans="1:20" s="33" customFormat="1" x14ac:dyDescent="0.2">
      <c r="A178" s="110"/>
      <c r="B178" s="111"/>
      <c r="C178" s="168"/>
      <c r="D178" s="169"/>
      <c r="E178" s="128"/>
      <c r="F178" s="129"/>
      <c r="G178" s="130"/>
      <c r="H178" s="138"/>
      <c r="I178" s="182"/>
      <c r="J178" s="182"/>
      <c r="K178" s="142"/>
      <c r="L178" s="173"/>
      <c r="M178" s="173"/>
      <c r="N178" s="173"/>
      <c r="O178" s="173"/>
      <c r="P178" s="173"/>
      <c r="Q178" s="35"/>
      <c r="R178" s="58"/>
      <c r="S178" s="1"/>
      <c r="T178" s="1"/>
    </row>
    <row r="179" spans="1:20" s="33" customFormat="1" x14ac:dyDescent="0.2">
      <c r="A179" s="110"/>
      <c r="B179" s="111"/>
      <c r="C179" s="168"/>
      <c r="D179" s="169"/>
      <c r="E179" s="128"/>
      <c r="F179" s="129"/>
      <c r="G179" s="130"/>
      <c r="H179" s="138"/>
      <c r="I179" s="182"/>
      <c r="J179" s="182"/>
      <c r="K179" s="142"/>
      <c r="L179" s="173"/>
      <c r="M179" s="173"/>
      <c r="N179" s="173"/>
      <c r="O179" s="173"/>
      <c r="P179" s="173"/>
      <c r="Q179" s="35"/>
      <c r="R179" s="58"/>
      <c r="S179" s="1"/>
      <c r="T179" s="1"/>
    </row>
    <row r="180" spans="1:20" s="33" customFormat="1" x14ac:dyDescent="0.2">
      <c r="A180" s="110"/>
      <c r="B180" s="111"/>
      <c r="C180" s="168"/>
      <c r="D180" s="169"/>
      <c r="E180" s="128"/>
      <c r="F180" s="129"/>
      <c r="G180" s="130"/>
      <c r="H180" s="138"/>
      <c r="I180" s="182"/>
      <c r="J180" s="182"/>
      <c r="K180" s="142"/>
      <c r="L180" s="173"/>
      <c r="M180" s="173"/>
      <c r="N180" s="173"/>
      <c r="O180" s="173"/>
      <c r="P180" s="173"/>
      <c r="Q180" s="35"/>
      <c r="R180" s="58"/>
      <c r="S180" s="1"/>
      <c r="T180" s="1"/>
    </row>
    <row r="181" spans="1:20" s="33" customFormat="1" x14ac:dyDescent="0.2">
      <c r="A181" s="110"/>
      <c r="B181" s="111"/>
      <c r="C181" s="168"/>
      <c r="D181" s="169"/>
      <c r="E181" s="128"/>
      <c r="F181" s="129"/>
      <c r="G181" s="130"/>
      <c r="H181" s="138"/>
      <c r="I181" s="182"/>
      <c r="J181" s="182"/>
      <c r="K181" s="142"/>
      <c r="L181" s="173"/>
      <c r="M181" s="173"/>
      <c r="N181" s="173"/>
      <c r="O181" s="173"/>
      <c r="P181" s="173"/>
      <c r="Q181" s="35"/>
      <c r="R181" s="58"/>
      <c r="S181" s="1"/>
      <c r="T181" s="1"/>
    </row>
    <row r="182" spans="1:20" s="33" customFormat="1" x14ac:dyDescent="0.2">
      <c r="A182" s="110"/>
      <c r="B182" s="111"/>
      <c r="C182" s="168"/>
      <c r="D182" s="169"/>
      <c r="E182" s="128"/>
      <c r="F182" s="129"/>
      <c r="G182" s="130"/>
      <c r="H182" s="138"/>
      <c r="I182" s="182"/>
      <c r="J182" s="182"/>
      <c r="K182" s="142"/>
      <c r="L182" s="173"/>
      <c r="M182" s="173"/>
      <c r="N182" s="173"/>
      <c r="O182" s="173"/>
      <c r="P182" s="173"/>
      <c r="Q182" s="35"/>
      <c r="R182" s="58"/>
      <c r="S182" s="1"/>
      <c r="T182" s="1"/>
    </row>
    <row r="183" spans="1:20" s="33" customFormat="1" x14ac:dyDescent="0.2">
      <c r="A183" s="110"/>
      <c r="B183" s="111"/>
      <c r="C183" s="168"/>
      <c r="D183" s="169"/>
      <c r="E183" s="128"/>
      <c r="F183" s="129"/>
      <c r="G183" s="130"/>
      <c r="H183" s="138"/>
      <c r="I183" s="182"/>
      <c r="J183" s="182"/>
      <c r="K183" s="142"/>
      <c r="L183" s="173"/>
      <c r="M183" s="173"/>
      <c r="N183" s="173"/>
      <c r="O183" s="173"/>
      <c r="P183" s="173"/>
      <c r="Q183" s="35"/>
      <c r="R183" s="58"/>
      <c r="S183" s="1"/>
      <c r="T183" s="1"/>
    </row>
    <row r="184" spans="1:20" s="33" customFormat="1" x14ac:dyDescent="0.2">
      <c r="A184" s="110"/>
      <c r="B184" s="111"/>
      <c r="C184" s="168"/>
      <c r="D184" s="169"/>
      <c r="E184" s="128"/>
      <c r="F184" s="129"/>
      <c r="G184" s="130"/>
      <c r="H184" s="138"/>
      <c r="I184" s="182"/>
      <c r="J184" s="182"/>
      <c r="K184" s="142"/>
      <c r="L184" s="173"/>
      <c r="M184" s="173"/>
      <c r="N184" s="173"/>
      <c r="O184" s="173"/>
      <c r="P184" s="173"/>
      <c r="Q184" s="35"/>
      <c r="R184" s="58"/>
      <c r="S184" s="1"/>
      <c r="T184" s="1"/>
    </row>
    <row r="185" spans="1:20" s="33" customFormat="1" x14ac:dyDescent="0.2">
      <c r="A185" s="110"/>
      <c r="B185" s="111"/>
      <c r="C185" s="168"/>
      <c r="D185" s="169"/>
      <c r="E185" s="128"/>
      <c r="F185" s="129"/>
      <c r="G185" s="130"/>
      <c r="H185" s="138"/>
      <c r="I185" s="182"/>
      <c r="J185" s="182"/>
      <c r="K185" s="142"/>
      <c r="L185" s="173"/>
      <c r="M185" s="173"/>
      <c r="N185" s="173"/>
      <c r="O185" s="173"/>
      <c r="P185" s="173"/>
      <c r="Q185" s="35"/>
      <c r="R185" s="58"/>
      <c r="S185" s="1"/>
      <c r="T185" s="1"/>
    </row>
    <row r="186" spans="1:20" s="33" customFormat="1" x14ac:dyDescent="0.2">
      <c r="A186" s="110"/>
      <c r="B186" s="111"/>
      <c r="C186" s="168"/>
      <c r="D186" s="169"/>
      <c r="E186" s="128"/>
      <c r="F186" s="129"/>
      <c r="G186" s="130"/>
      <c r="H186" s="138"/>
      <c r="I186" s="182"/>
      <c r="J186" s="182"/>
      <c r="K186" s="142"/>
      <c r="L186" s="173"/>
      <c r="M186" s="173"/>
      <c r="N186" s="173"/>
      <c r="O186" s="173"/>
      <c r="P186" s="173"/>
      <c r="Q186" s="35"/>
      <c r="R186" s="58"/>
      <c r="S186" s="1"/>
      <c r="T186" s="1"/>
    </row>
    <row r="187" spans="1:20" s="33" customFormat="1" x14ac:dyDescent="0.2">
      <c r="A187" s="110"/>
      <c r="B187" s="111"/>
      <c r="C187" s="168"/>
      <c r="D187" s="169"/>
      <c r="E187" s="128"/>
      <c r="F187" s="129"/>
      <c r="G187" s="130"/>
      <c r="H187" s="138"/>
      <c r="I187" s="182"/>
      <c r="J187" s="182"/>
      <c r="K187" s="142"/>
      <c r="L187" s="173"/>
      <c r="M187" s="173"/>
      <c r="N187" s="173"/>
      <c r="O187" s="173"/>
      <c r="P187" s="173"/>
      <c r="Q187" s="35"/>
      <c r="R187" s="58"/>
      <c r="S187" s="1"/>
      <c r="T187" s="1"/>
    </row>
    <row r="188" spans="1:20" s="33" customFormat="1" x14ac:dyDescent="0.2">
      <c r="A188" s="110"/>
      <c r="B188" s="111"/>
      <c r="C188" s="168"/>
      <c r="D188" s="169"/>
      <c r="E188" s="128"/>
      <c r="F188" s="129"/>
      <c r="G188" s="130"/>
      <c r="H188" s="138"/>
      <c r="I188" s="182"/>
      <c r="J188" s="182"/>
      <c r="K188" s="142"/>
      <c r="L188" s="173"/>
      <c r="M188" s="173"/>
      <c r="N188" s="173"/>
      <c r="O188" s="173"/>
      <c r="P188" s="173"/>
      <c r="Q188" s="35"/>
      <c r="R188" s="58"/>
      <c r="S188" s="1"/>
      <c r="T188" s="1"/>
    </row>
    <row r="189" spans="1:20" s="33" customFormat="1" x14ac:dyDescent="0.2">
      <c r="A189" s="110"/>
      <c r="B189" s="111"/>
      <c r="C189" s="168"/>
      <c r="D189" s="169"/>
      <c r="E189" s="128"/>
      <c r="F189" s="129"/>
      <c r="G189" s="130"/>
      <c r="H189" s="138"/>
      <c r="I189" s="182"/>
      <c r="J189" s="182"/>
      <c r="K189" s="142"/>
      <c r="L189" s="173"/>
      <c r="M189" s="173"/>
      <c r="N189" s="173"/>
      <c r="O189" s="173"/>
      <c r="P189" s="173"/>
      <c r="Q189" s="35"/>
      <c r="R189" s="58"/>
      <c r="S189" s="1"/>
      <c r="T189" s="1"/>
    </row>
    <row r="190" spans="1:20" s="33" customFormat="1" x14ac:dyDescent="0.2">
      <c r="A190" s="110"/>
      <c r="B190" s="111"/>
      <c r="C190" s="168"/>
      <c r="D190" s="169"/>
      <c r="E190" s="128"/>
      <c r="F190" s="129"/>
      <c r="G190" s="130"/>
      <c r="H190" s="138"/>
      <c r="I190" s="182"/>
      <c r="J190" s="182"/>
      <c r="K190" s="142"/>
      <c r="L190" s="173"/>
      <c r="M190" s="173"/>
      <c r="N190" s="173"/>
      <c r="O190" s="173"/>
      <c r="P190" s="173"/>
      <c r="Q190" s="35"/>
      <c r="R190" s="58"/>
      <c r="S190" s="1"/>
      <c r="T190" s="1"/>
    </row>
    <row r="191" spans="1:20" s="33" customFormat="1" x14ac:dyDescent="0.2">
      <c r="A191" s="110"/>
      <c r="B191" s="111"/>
      <c r="C191" s="168"/>
      <c r="D191" s="169"/>
      <c r="E191" s="128"/>
      <c r="F191" s="129"/>
      <c r="G191" s="130"/>
      <c r="H191" s="138"/>
      <c r="I191" s="182"/>
      <c r="J191" s="182"/>
      <c r="K191" s="142"/>
      <c r="L191" s="173"/>
      <c r="M191" s="173"/>
      <c r="N191" s="173"/>
      <c r="O191" s="173"/>
      <c r="P191" s="173"/>
      <c r="Q191" s="35"/>
      <c r="R191" s="58"/>
      <c r="S191" s="1"/>
      <c r="T191" s="1"/>
    </row>
    <row r="192" spans="1:20" s="33" customFormat="1" x14ac:dyDescent="0.2">
      <c r="A192" s="110"/>
      <c r="B192" s="111"/>
      <c r="C192" s="168"/>
      <c r="D192" s="169"/>
      <c r="E192" s="128"/>
      <c r="F192" s="129"/>
      <c r="G192" s="130"/>
      <c r="H192" s="138"/>
      <c r="I192" s="182"/>
      <c r="J192" s="182"/>
      <c r="K192" s="142"/>
      <c r="L192" s="173"/>
      <c r="M192" s="173"/>
      <c r="N192" s="173"/>
      <c r="O192" s="173"/>
      <c r="P192" s="173"/>
      <c r="Q192" s="35"/>
      <c r="R192" s="58"/>
      <c r="S192" s="1"/>
      <c r="T192" s="1"/>
    </row>
    <row r="193" spans="1:20" s="33" customFormat="1" x14ac:dyDescent="0.2">
      <c r="A193" s="110"/>
      <c r="B193" s="111"/>
      <c r="C193" s="168"/>
      <c r="D193" s="169"/>
      <c r="E193" s="128"/>
      <c r="F193" s="129"/>
      <c r="G193" s="130"/>
      <c r="H193" s="138"/>
      <c r="I193" s="182"/>
      <c r="J193" s="182"/>
      <c r="K193" s="142"/>
      <c r="L193" s="173"/>
      <c r="M193" s="173"/>
      <c r="N193" s="173"/>
      <c r="O193" s="173"/>
      <c r="P193" s="173"/>
      <c r="Q193" s="35"/>
      <c r="R193" s="58"/>
      <c r="S193" s="1"/>
      <c r="T193" s="1"/>
    </row>
    <row r="194" spans="1:20" s="33" customFormat="1" x14ac:dyDescent="0.2">
      <c r="A194" s="110"/>
      <c r="B194" s="111"/>
      <c r="C194" s="168"/>
      <c r="D194" s="169"/>
      <c r="E194" s="128"/>
      <c r="F194" s="129"/>
      <c r="G194" s="130"/>
      <c r="H194" s="138"/>
      <c r="I194" s="182"/>
      <c r="J194" s="182"/>
      <c r="K194" s="142"/>
      <c r="L194" s="173"/>
      <c r="M194" s="173"/>
      <c r="N194" s="173"/>
      <c r="O194" s="173"/>
      <c r="P194" s="173"/>
      <c r="Q194" s="35"/>
      <c r="R194" s="58"/>
      <c r="S194" s="1"/>
      <c r="T194" s="1"/>
    </row>
    <row r="195" spans="1:20" s="33" customFormat="1" x14ac:dyDescent="0.2">
      <c r="A195" s="110"/>
      <c r="B195" s="111"/>
      <c r="C195" s="168"/>
      <c r="D195" s="169"/>
      <c r="E195" s="128"/>
      <c r="F195" s="129"/>
      <c r="G195" s="130"/>
      <c r="H195" s="138"/>
      <c r="I195" s="182"/>
      <c r="J195" s="182"/>
      <c r="K195" s="142"/>
      <c r="L195" s="173"/>
      <c r="M195" s="173"/>
      <c r="N195" s="173"/>
      <c r="O195" s="173"/>
      <c r="P195" s="173"/>
      <c r="Q195" s="35"/>
      <c r="R195" s="58"/>
      <c r="S195" s="1"/>
      <c r="T195" s="1"/>
    </row>
    <row r="196" spans="1:20" s="33" customFormat="1" x14ac:dyDescent="0.2">
      <c r="A196" s="110"/>
      <c r="B196" s="111"/>
      <c r="C196" s="168"/>
      <c r="D196" s="169"/>
      <c r="E196" s="128"/>
      <c r="F196" s="129"/>
      <c r="G196" s="130"/>
      <c r="H196" s="138"/>
      <c r="I196" s="182"/>
      <c r="J196" s="182"/>
      <c r="K196" s="142"/>
      <c r="L196" s="173"/>
      <c r="M196" s="173"/>
      <c r="N196" s="173"/>
      <c r="O196" s="173"/>
      <c r="P196" s="173"/>
      <c r="Q196" s="35"/>
      <c r="R196" s="58"/>
      <c r="S196" s="1"/>
      <c r="T196" s="1"/>
    </row>
    <row r="197" spans="1:20" s="33" customFormat="1" x14ac:dyDescent="0.2">
      <c r="A197" s="110"/>
      <c r="B197" s="111"/>
      <c r="C197" s="168"/>
      <c r="D197" s="169"/>
      <c r="E197" s="128"/>
      <c r="F197" s="129"/>
      <c r="G197" s="130"/>
      <c r="H197" s="138"/>
      <c r="I197" s="182"/>
      <c r="J197" s="182"/>
      <c r="K197" s="142"/>
      <c r="L197" s="173"/>
      <c r="M197" s="173"/>
      <c r="N197" s="173"/>
      <c r="O197" s="173"/>
      <c r="P197" s="173"/>
      <c r="Q197" s="35"/>
      <c r="R197" s="58"/>
      <c r="S197" s="1"/>
      <c r="T197" s="1"/>
    </row>
    <row r="198" spans="1:20" s="33" customFormat="1" x14ac:dyDescent="0.2">
      <c r="A198" s="110"/>
      <c r="B198" s="111"/>
      <c r="C198" s="168"/>
      <c r="D198" s="169"/>
      <c r="E198" s="128"/>
      <c r="F198" s="129"/>
      <c r="G198" s="130"/>
      <c r="H198" s="138"/>
      <c r="I198" s="182"/>
      <c r="J198" s="182"/>
      <c r="K198" s="142"/>
      <c r="L198" s="173"/>
      <c r="M198" s="173"/>
      <c r="N198" s="173"/>
      <c r="O198" s="173"/>
      <c r="P198" s="173"/>
      <c r="Q198" s="35"/>
      <c r="R198" s="58"/>
      <c r="S198" s="1"/>
      <c r="T198" s="1"/>
    </row>
    <row r="199" spans="1:20" s="33" customFormat="1" x14ac:dyDescent="0.2">
      <c r="A199" s="110"/>
      <c r="B199" s="111"/>
      <c r="C199" s="168"/>
      <c r="D199" s="169"/>
      <c r="E199" s="128"/>
      <c r="F199" s="129"/>
      <c r="G199" s="130"/>
      <c r="H199" s="138"/>
      <c r="I199" s="182"/>
      <c r="J199" s="182"/>
      <c r="K199" s="142"/>
      <c r="L199" s="173"/>
      <c r="M199" s="173"/>
      <c r="N199" s="173"/>
      <c r="O199" s="173"/>
      <c r="P199" s="173"/>
      <c r="Q199" s="35"/>
      <c r="R199" s="58"/>
      <c r="S199" s="1"/>
      <c r="T199" s="1"/>
    </row>
    <row r="200" spans="1:20" s="33" customFormat="1" x14ac:dyDescent="0.2">
      <c r="A200" s="110"/>
      <c r="B200" s="111"/>
      <c r="C200" s="168"/>
      <c r="D200" s="169"/>
      <c r="E200" s="128"/>
      <c r="F200" s="129"/>
      <c r="G200" s="130"/>
      <c r="H200" s="138"/>
      <c r="I200" s="182"/>
      <c r="J200" s="182"/>
      <c r="K200" s="142"/>
      <c r="L200" s="173"/>
      <c r="M200" s="173"/>
      <c r="N200" s="173"/>
      <c r="O200" s="173"/>
      <c r="P200" s="173"/>
      <c r="Q200" s="35"/>
      <c r="R200" s="58"/>
      <c r="S200" s="1"/>
      <c r="T200" s="1"/>
    </row>
    <row r="201" spans="1:20" s="33" customFormat="1" x14ac:dyDescent="0.2">
      <c r="A201" s="110"/>
      <c r="B201" s="111"/>
      <c r="C201" s="168"/>
      <c r="D201" s="169"/>
      <c r="E201" s="128"/>
      <c r="F201" s="129"/>
      <c r="G201" s="130"/>
      <c r="H201" s="138"/>
      <c r="I201" s="182"/>
      <c r="J201" s="182"/>
      <c r="K201" s="142"/>
      <c r="L201" s="173"/>
      <c r="M201" s="173"/>
      <c r="N201" s="173"/>
      <c r="O201" s="173"/>
      <c r="P201" s="173"/>
      <c r="Q201" s="35"/>
      <c r="R201" s="58"/>
      <c r="S201" s="1"/>
      <c r="T201" s="1"/>
    </row>
    <row r="202" spans="1:20" s="33" customFormat="1" x14ac:dyDescent="0.2">
      <c r="A202" s="110"/>
      <c r="B202" s="111"/>
      <c r="C202" s="168"/>
      <c r="D202" s="169"/>
      <c r="E202" s="128"/>
      <c r="F202" s="129"/>
      <c r="G202" s="130"/>
      <c r="H202" s="138"/>
      <c r="I202" s="182"/>
      <c r="J202" s="182"/>
      <c r="K202" s="142"/>
      <c r="L202" s="173"/>
      <c r="M202" s="173"/>
      <c r="N202" s="173"/>
      <c r="O202" s="173"/>
      <c r="P202" s="173"/>
      <c r="Q202" s="35"/>
      <c r="R202" s="58"/>
      <c r="S202" s="1"/>
      <c r="T202" s="1"/>
    </row>
    <row r="203" spans="1:20" s="33" customFormat="1" x14ac:dyDescent="0.2">
      <c r="A203" s="110"/>
      <c r="B203" s="111"/>
      <c r="C203" s="168"/>
      <c r="D203" s="169"/>
      <c r="E203" s="128"/>
      <c r="F203" s="129"/>
      <c r="G203" s="130"/>
      <c r="H203" s="138"/>
      <c r="I203" s="182"/>
      <c r="J203" s="182"/>
      <c r="K203" s="142"/>
      <c r="L203" s="173"/>
      <c r="M203" s="173"/>
      <c r="N203" s="173"/>
      <c r="O203" s="173"/>
      <c r="P203" s="173"/>
      <c r="Q203" s="35"/>
      <c r="R203" s="58"/>
      <c r="S203" s="1"/>
      <c r="T203" s="1"/>
    </row>
    <row r="204" spans="1:20" s="33" customFormat="1" x14ac:dyDescent="0.2">
      <c r="A204" s="110"/>
      <c r="B204" s="111"/>
      <c r="C204" s="168"/>
      <c r="D204" s="169"/>
      <c r="E204" s="128"/>
      <c r="F204" s="129"/>
      <c r="G204" s="130"/>
      <c r="H204" s="138"/>
      <c r="I204" s="182"/>
      <c r="J204" s="182"/>
      <c r="K204" s="142"/>
      <c r="L204" s="173"/>
      <c r="M204" s="173"/>
      <c r="N204" s="173"/>
      <c r="O204" s="173"/>
      <c r="P204" s="173"/>
      <c r="Q204" s="35"/>
      <c r="R204" s="58"/>
      <c r="S204" s="1"/>
      <c r="T204" s="1"/>
    </row>
    <row r="205" spans="1:20" s="33" customFormat="1" x14ac:dyDescent="0.2">
      <c r="A205" s="110"/>
      <c r="B205" s="111"/>
      <c r="C205" s="168"/>
      <c r="D205" s="169"/>
      <c r="E205" s="128"/>
      <c r="F205" s="129"/>
      <c r="G205" s="130"/>
      <c r="H205" s="138"/>
      <c r="I205" s="182"/>
      <c r="J205" s="182"/>
      <c r="K205" s="142"/>
      <c r="L205" s="173"/>
      <c r="M205" s="173"/>
      <c r="N205" s="173"/>
      <c r="O205" s="173"/>
      <c r="P205" s="173"/>
      <c r="Q205" s="35"/>
      <c r="R205" s="58"/>
      <c r="S205" s="1"/>
      <c r="T205" s="1"/>
    </row>
    <row r="206" spans="1:20" s="33" customFormat="1" x14ac:dyDescent="0.2">
      <c r="A206" s="110"/>
      <c r="B206" s="111"/>
      <c r="C206" s="168"/>
      <c r="D206" s="169"/>
      <c r="E206" s="128"/>
      <c r="F206" s="129"/>
      <c r="G206" s="130"/>
      <c r="H206" s="138"/>
      <c r="I206" s="182"/>
      <c r="J206" s="182"/>
      <c r="K206" s="142"/>
      <c r="L206" s="173"/>
      <c r="M206" s="173"/>
      <c r="N206" s="173"/>
      <c r="O206" s="173"/>
      <c r="P206" s="173"/>
      <c r="Q206" s="35"/>
      <c r="R206" s="58"/>
      <c r="S206" s="1"/>
      <c r="T206" s="1"/>
    </row>
    <row r="207" spans="1:20" s="33" customFormat="1" x14ac:dyDescent="0.2">
      <c r="A207" s="110"/>
      <c r="B207" s="111"/>
      <c r="C207" s="168"/>
      <c r="D207" s="169"/>
      <c r="E207" s="128"/>
      <c r="F207" s="129"/>
      <c r="G207" s="130"/>
      <c r="H207" s="138"/>
      <c r="I207" s="182"/>
      <c r="J207" s="182"/>
      <c r="K207" s="142"/>
      <c r="L207" s="173"/>
      <c r="M207" s="173"/>
      <c r="N207" s="173"/>
      <c r="O207" s="173"/>
      <c r="P207" s="173"/>
      <c r="Q207" s="35"/>
      <c r="R207" s="58"/>
      <c r="S207" s="1"/>
      <c r="T207" s="1"/>
    </row>
    <row r="208" spans="1:20" s="33" customFormat="1" x14ac:dyDescent="0.2">
      <c r="A208" s="110"/>
      <c r="B208" s="111"/>
      <c r="C208" s="168"/>
      <c r="D208" s="169"/>
      <c r="E208" s="128"/>
      <c r="F208" s="129"/>
      <c r="G208" s="130"/>
      <c r="H208" s="138"/>
      <c r="I208" s="182"/>
      <c r="J208" s="182"/>
      <c r="K208" s="142"/>
      <c r="L208" s="173"/>
      <c r="M208" s="173"/>
      <c r="N208" s="173"/>
      <c r="O208" s="173"/>
      <c r="P208" s="173"/>
      <c r="Q208" s="35"/>
      <c r="R208" s="58"/>
      <c r="S208" s="1"/>
      <c r="T208" s="1"/>
    </row>
    <row r="209" spans="1:20" s="33" customFormat="1" x14ac:dyDescent="0.2">
      <c r="A209" s="110"/>
      <c r="B209" s="111"/>
      <c r="C209" s="168"/>
      <c r="D209" s="169"/>
      <c r="E209" s="128"/>
      <c r="F209" s="129"/>
      <c r="G209" s="130"/>
      <c r="H209" s="138"/>
      <c r="I209" s="182"/>
      <c r="J209" s="182"/>
      <c r="K209" s="142"/>
      <c r="L209" s="173"/>
      <c r="M209" s="173"/>
      <c r="N209" s="173"/>
      <c r="O209" s="173"/>
      <c r="P209" s="173"/>
      <c r="Q209" s="35"/>
      <c r="R209" s="58"/>
      <c r="S209" s="1"/>
      <c r="T209" s="1"/>
    </row>
    <row r="210" spans="1:20" s="33" customFormat="1" x14ac:dyDescent="0.2">
      <c r="A210" s="110"/>
      <c r="B210" s="111"/>
      <c r="C210" s="168"/>
      <c r="D210" s="169"/>
      <c r="E210" s="128"/>
      <c r="F210" s="129"/>
      <c r="G210" s="130"/>
      <c r="H210" s="138"/>
      <c r="I210" s="182"/>
      <c r="J210" s="182"/>
      <c r="K210" s="142"/>
      <c r="L210" s="173"/>
      <c r="M210" s="173"/>
      <c r="N210" s="173"/>
      <c r="O210" s="173"/>
      <c r="P210" s="173"/>
      <c r="Q210" s="35"/>
      <c r="R210" s="58"/>
      <c r="S210" s="1"/>
      <c r="T210" s="1"/>
    </row>
    <row r="211" spans="1:20" s="33" customFormat="1" x14ac:dyDescent="0.2">
      <c r="A211" s="110"/>
      <c r="B211" s="111"/>
      <c r="C211" s="168"/>
      <c r="D211" s="169"/>
      <c r="E211" s="128"/>
      <c r="F211" s="129"/>
      <c r="G211" s="130"/>
      <c r="H211" s="138"/>
      <c r="I211" s="182"/>
      <c r="J211" s="182"/>
      <c r="K211" s="142"/>
      <c r="L211" s="173"/>
      <c r="M211" s="173"/>
      <c r="N211" s="173"/>
      <c r="O211" s="173"/>
      <c r="P211" s="173"/>
      <c r="Q211" s="35"/>
      <c r="R211" s="58"/>
      <c r="S211" s="1"/>
      <c r="T211" s="1"/>
    </row>
    <row r="212" spans="1:20" s="33" customFormat="1" x14ac:dyDescent="0.2">
      <c r="A212" s="110"/>
      <c r="B212" s="111"/>
      <c r="C212" s="168"/>
      <c r="D212" s="169"/>
      <c r="E212" s="128"/>
      <c r="F212" s="129"/>
      <c r="G212" s="130"/>
      <c r="H212" s="138"/>
      <c r="I212" s="182"/>
      <c r="J212" s="182"/>
      <c r="K212" s="142"/>
      <c r="L212" s="173"/>
      <c r="M212" s="173"/>
      <c r="N212" s="173"/>
      <c r="O212" s="173"/>
      <c r="P212" s="173"/>
      <c r="Q212" s="35"/>
      <c r="R212" s="58"/>
      <c r="S212" s="1"/>
      <c r="T212" s="1"/>
    </row>
    <row r="213" spans="1:20" s="33" customFormat="1" x14ac:dyDescent="0.2">
      <c r="A213" s="110"/>
      <c r="B213" s="111"/>
      <c r="C213" s="168"/>
      <c r="D213" s="169"/>
      <c r="E213" s="128"/>
      <c r="F213" s="129"/>
      <c r="G213" s="130"/>
      <c r="H213" s="138"/>
      <c r="I213" s="182"/>
      <c r="J213" s="182"/>
      <c r="K213" s="142"/>
      <c r="L213" s="173"/>
      <c r="M213" s="173"/>
      <c r="N213" s="173"/>
      <c r="O213" s="173"/>
      <c r="P213" s="173"/>
      <c r="Q213" s="35"/>
      <c r="R213" s="58"/>
      <c r="S213" s="1"/>
      <c r="T213" s="1"/>
    </row>
    <row r="214" spans="1:20" s="33" customFormat="1" x14ac:dyDescent="0.2">
      <c r="A214" s="110"/>
      <c r="B214" s="111"/>
      <c r="C214" s="168"/>
      <c r="D214" s="169"/>
      <c r="E214" s="128"/>
      <c r="F214" s="129"/>
      <c r="G214" s="130"/>
      <c r="H214" s="138"/>
      <c r="I214" s="182"/>
      <c r="J214" s="182"/>
      <c r="K214" s="142"/>
      <c r="L214" s="173"/>
      <c r="M214" s="173"/>
      <c r="N214" s="173"/>
      <c r="O214" s="173"/>
      <c r="P214" s="173"/>
      <c r="Q214" s="35"/>
      <c r="R214" s="58"/>
      <c r="S214" s="1"/>
      <c r="T214" s="1"/>
    </row>
    <row r="215" spans="1:20" s="33" customFormat="1" x14ac:dyDescent="0.2">
      <c r="A215" s="110"/>
      <c r="B215" s="111"/>
      <c r="C215" s="168"/>
      <c r="D215" s="169"/>
      <c r="E215" s="128"/>
      <c r="F215" s="129"/>
      <c r="G215" s="130"/>
      <c r="H215" s="138"/>
      <c r="I215" s="182"/>
      <c r="J215" s="182"/>
      <c r="K215" s="142"/>
      <c r="L215" s="173"/>
      <c r="M215" s="173"/>
      <c r="N215" s="173"/>
      <c r="O215" s="173"/>
      <c r="P215" s="173"/>
      <c r="Q215" s="35"/>
      <c r="R215" s="58"/>
      <c r="S215" s="1"/>
      <c r="T215" s="1"/>
    </row>
    <row r="216" spans="1:20" s="33" customFormat="1" x14ac:dyDescent="0.2">
      <c r="A216" s="110"/>
      <c r="B216" s="111"/>
      <c r="C216" s="168"/>
      <c r="D216" s="169"/>
      <c r="E216" s="128"/>
      <c r="F216" s="129"/>
      <c r="G216" s="130"/>
      <c r="H216" s="138"/>
      <c r="I216" s="182"/>
      <c r="J216" s="182"/>
      <c r="K216" s="142"/>
      <c r="L216" s="173"/>
      <c r="M216" s="173"/>
      <c r="N216" s="173"/>
      <c r="O216" s="173"/>
      <c r="P216" s="173"/>
      <c r="Q216" s="35"/>
      <c r="R216" s="58"/>
      <c r="S216" s="1"/>
      <c r="T216" s="1"/>
    </row>
    <row r="217" spans="1:20" s="33" customFormat="1" x14ac:dyDescent="0.2">
      <c r="A217" s="110"/>
      <c r="B217" s="111"/>
      <c r="C217" s="168"/>
      <c r="D217" s="169"/>
      <c r="E217" s="128"/>
      <c r="F217" s="129"/>
      <c r="G217" s="130"/>
      <c r="H217" s="138"/>
      <c r="I217" s="182"/>
      <c r="J217" s="182"/>
      <c r="K217" s="142"/>
      <c r="L217" s="173"/>
      <c r="M217" s="173"/>
      <c r="N217" s="173"/>
      <c r="O217" s="173"/>
      <c r="P217" s="173"/>
      <c r="Q217" s="35"/>
      <c r="R217" s="58"/>
      <c r="S217" s="1"/>
      <c r="T217" s="1"/>
    </row>
    <row r="218" spans="1:20" s="33" customFormat="1" x14ac:dyDescent="0.2">
      <c r="A218" s="110"/>
      <c r="B218" s="111"/>
      <c r="C218" s="168"/>
      <c r="D218" s="169"/>
      <c r="E218" s="128"/>
      <c r="F218" s="129"/>
      <c r="G218" s="130"/>
      <c r="H218" s="138"/>
      <c r="I218" s="182"/>
      <c r="J218" s="182"/>
      <c r="K218" s="142"/>
      <c r="L218" s="173"/>
      <c r="M218" s="173"/>
      <c r="N218" s="173"/>
      <c r="O218" s="173"/>
      <c r="P218" s="173"/>
      <c r="Q218" s="35"/>
      <c r="R218" s="58"/>
      <c r="S218" s="1"/>
      <c r="T218" s="1"/>
    </row>
    <row r="219" spans="1:20" s="33" customFormat="1" x14ac:dyDescent="0.2">
      <c r="A219" s="110"/>
      <c r="B219" s="111"/>
      <c r="C219" s="168"/>
      <c r="D219" s="169"/>
      <c r="E219" s="128"/>
      <c r="F219" s="129"/>
      <c r="G219" s="130"/>
      <c r="H219" s="138"/>
      <c r="I219" s="182"/>
      <c r="J219" s="182"/>
      <c r="K219" s="142"/>
      <c r="L219" s="173"/>
      <c r="M219" s="173"/>
      <c r="N219" s="173"/>
      <c r="O219" s="173"/>
      <c r="P219" s="173"/>
      <c r="Q219" s="35"/>
      <c r="R219" s="58"/>
      <c r="S219" s="1"/>
      <c r="T219" s="1"/>
    </row>
    <row r="220" spans="1:20" s="33" customFormat="1" x14ac:dyDescent="0.2">
      <c r="A220" s="110"/>
      <c r="B220" s="111"/>
      <c r="C220" s="168"/>
      <c r="D220" s="169"/>
      <c r="E220" s="128"/>
      <c r="F220" s="129"/>
      <c r="G220" s="130"/>
      <c r="H220" s="138"/>
      <c r="I220" s="182"/>
      <c r="J220" s="182"/>
      <c r="K220" s="142"/>
      <c r="L220" s="173"/>
      <c r="M220" s="173"/>
      <c r="N220" s="173"/>
      <c r="O220" s="173"/>
      <c r="P220" s="173"/>
      <c r="Q220" s="35"/>
      <c r="R220" s="58"/>
      <c r="S220" s="1"/>
      <c r="T220" s="1"/>
    </row>
    <row r="221" spans="1:20" s="33" customFormat="1" x14ac:dyDescent="0.2">
      <c r="A221" s="110"/>
      <c r="B221" s="111"/>
      <c r="C221" s="168"/>
      <c r="D221" s="169"/>
      <c r="E221" s="128"/>
      <c r="F221" s="129"/>
      <c r="G221" s="130"/>
      <c r="H221" s="138"/>
      <c r="I221" s="182"/>
      <c r="J221" s="182"/>
      <c r="K221" s="142"/>
      <c r="L221" s="173"/>
      <c r="M221" s="173"/>
      <c r="N221" s="173"/>
      <c r="O221" s="173"/>
      <c r="P221" s="173"/>
      <c r="Q221" s="35"/>
      <c r="R221" s="58"/>
      <c r="S221" s="1"/>
      <c r="T221" s="1"/>
    </row>
    <row r="222" spans="1:20" s="33" customFormat="1" x14ac:dyDescent="0.2">
      <c r="A222" s="110"/>
      <c r="B222" s="111"/>
      <c r="C222" s="168"/>
      <c r="D222" s="169"/>
      <c r="E222" s="128"/>
      <c r="F222" s="129"/>
      <c r="G222" s="130"/>
      <c r="H222" s="138"/>
      <c r="I222" s="182"/>
      <c r="J222" s="182"/>
      <c r="K222" s="142"/>
      <c r="L222" s="173"/>
      <c r="M222" s="173"/>
      <c r="N222" s="173"/>
      <c r="O222" s="173"/>
      <c r="P222" s="173"/>
      <c r="Q222" s="35"/>
      <c r="R222" s="58"/>
      <c r="S222" s="1"/>
      <c r="T222" s="1"/>
    </row>
    <row r="223" spans="1:20" s="33" customFormat="1" x14ac:dyDescent="0.2">
      <c r="A223" s="110"/>
      <c r="B223" s="111"/>
      <c r="C223" s="168"/>
      <c r="D223" s="169"/>
      <c r="E223" s="128"/>
      <c r="F223" s="129"/>
      <c r="G223" s="130"/>
      <c r="H223" s="138"/>
      <c r="I223" s="182"/>
      <c r="J223" s="182"/>
      <c r="K223" s="142"/>
      <c r="L223" s="173"/>
      <c r="M223" s="173"/>
      <c r="N223" s="173"/>
      <c r="O223" s="173"/>
      <c r="P223" s="173"/>
      <c r="Q223" s="35"/>
      <c r="R223" s="58"/>
      <c r="S223" s="1"/>
      <c r="T223" s="1"/>
    </row>
    <row r="224" spans="1:20" s="33" customFormat="1" x14ac:dyDescent="0.2">
      <c r="A224" s="110"/>
      <c r="B224" s="111"/>
      <c r="C224" s="168"/>
      <c r="D224" s="169"/>
      <c r="E224" s="128"/>
      <c r="F224" s="129"/>
      <c r="G224" s="130"/>
      <c r="H224" s="138"/>
      <c r="I224" s="182"/>
      <c r="J224" s="182"/>
      <c r="K224" s="142"/>
      <c r="L224" s="173"/>
      <c r="M224" s="173"/>
      <c r="N224" s="173"/>
      <c r="O224" s="173"/>
      <c r="P224" s="173"/>
      <c r="Q224" s="35"/>
      <c r="R224" s="58"/>
      <c r="S224" s="1"/>
      <c r="T224" s="1"/>
    </row>
    <row r="225" spans="1:20" s="33" customFormat="1" x14ac:dyDescent="0.2">
      <c r="A225" s="110"/>
      <c r="B225" s="111"/>
      <c r="C225" s="168"/>
      <c r="D225" s="169"/>
      <c r="E225" s="128"/>
      <c r="F225" s="129"/>
      <c r="G225" s="130"/>
      <c r="H225" s="138"/>
      <c r="I225" s="182"/>
      <c r="J225" s="182"/>
      <c r="K225" s="142"/>
      <c r="L225" s="173"/>
      <c r="M225" s="173"/>
      <c r="N225" s="173"/>
      <c r="O225" s="173"/>
      <c r="P225" s="173"/>
      <c r="Q225" s="35"/>
      <c r="R225" s="58"/>
      <c r="S225" s="1"/>
      <c r="T225" s="1"/>
    </row>
    <row r="226" spans="1:20" s="33" customFormat="1" x14ac:dyDescent="0.2">
      <c r="A226" s="110"/>
      <c r="B226" s="111"/>
      <c r="C226" s="168"/>
      <c r="D226" s="169"/>
      <c r="E226" s="128"/>
      <c r="F226" s="129"/>
      <c r="G226" s="130"/>
      <c r="H226" s="138"/>
      <c r="I226" s="182"/>
      <c r="J226" s="182"/>
      <c r="K226" s="142"/>
      <c r="L226" s="173"/>
      <c r="M226" s="173"/>
      <c r="N226" s="173"/>
      <c r="O226" s="173"/>
      <c r="P226" s="173"/>
      <c r="Q226" s="35"/>
      <c r="R226" s="58"/>
      <c r="S226" s="1"/>
      <c r="T226" s="1"/>
    </row>
    <row r="227" spans="1:20" s="33" customFormat="1" x14ac:dyDescent="0.2">
      <c r="A227" s="110"/>
      <c r="B227" s="111"/>
      <c r="C227" s="168"/>
      <c r="D227" s="169"/>
      <c r="E227" s="128"/>
      <c r="F227" s="129"/>
      <c r="G227" s="130"/>
      <c r="H227" s="138"/>
      <c r="I227" s="182"/>
      <c r="J227" s="182"/>
      <c r="K227" s="142"/>
      <c r="L227" s="173"/>
      <c r="M227" s="173"/>
      <c r="N227" s="173"/>
      <c r="O227" s="173"/>
      <c r="P227" s="173"/>
      <c r="Q227" s="35"/>
      <c r="R227" s="58"/>
      <c r="S227" s="1"/>
      <c r="T227" s="1"/>
    </row>
    <row r="228" spans="1:20" s="33" customFormat="1" x14ac:dyDescent="0.2">
      <c r="A228" s="110"/>
      <c r="B228" s="111"/>
      <c r="C228" s="168"/>
      <c r="D228" s="169"/>
      <c r="E228" s="128"/>
      <c r="F228" s="129"/>
      <c r="G228" s="130"/>
      <c r="H228" s="138"/>
      <c r="I228" s="182"/>
      <c r="J228" s="182"/>
      <c r="K228" s="142"/>
      <c r="L228" s="173"/>
      <c r="M228" s="173"/>
      <c r="N228" s="173"/>
      <c r="O228" s="173"/>
      <c r="P228" s="173"/>
      <c r="Q228" s="35"/>
      <c r="R228" s="58"/>
      <c r="S228" s="1"/>
      <c r="T228" s="1"/>
    </row>
    <row r="229" spans="1:20" s="33" customFormat="1" x14ac:dyDescent="0.2">
      <c r="A229" s="110"/>
      <c r="B229" s="111"/>
      <c r="C229" s="168"/>
      <c r="D229" s="169"/>
      <c r="E229" s="128"/>
      <c r="F229" s="129"/>
      <c r="G229" s="130"/>
      <c r="H229" s="138"/>
      <c r="I229" s="182"/>
      <c r="J229" s="182"/>
      <c r="K229" s="142"/>
      <c r="L229" s="173"/>
      <c r="M229" s="173"/>
      <c r="N229" s="173"/>
      <c r="O229" s="173"/>
      <c r="P229" s="173"/>
      <c r="Q229" s="35"/>
      <c r="R229" s="58"/>
      <c r="S229" s="1"/>
      <c r="T229" s="1"/>
    </row>
    <row r="230" spans="1:20" s="33" customFormat="1" x14ac:dyDescent="0.2">
      <c r="A230" s="110"/>
      <c r="B230" s="111"/>
      <c r="C230" s="168"/>
      <c r="D230" s="169"/>
      <c r="E230" s="128"/>
      <c r="F230" s="129"/>
      <c r="G230" s="130"/>
      <c r="H230" s="138"/>
      <c r="I230" s="182"/>
      <c r="J230" s="182"/>
      <c r="K230" s="142"/>
      <c r="L230" s="173"/>
      <c r="M230" s="173"/>
      <c r="N230" s="173"/>
      <c r="O230" s="173"/>
      <c r="P230" s="173"/>
      <c r="Q230" s="35"/>
      <c r="R230" s="58"/>
      <c r="S230" s="1"/>
      <c r="T230" s="1"/>
    </row>
    <row r="231" spans="1:20" s="33" customFormat="1" x14ac:dyDescent="0.2">
      <c r="A231" s="110"/>
      <c r="B231" s="111"/>
      <c r="C231" s="168"/>
      <c r="D231" s="169"/>
      <c r="E231" s="128"/>
      <c r="F231" s="129"/>
      <c r="G231" s="130"/>
      <c r="H231" s="138"/>
      <c r="I231" s="182"/>
      <c r="J231" s="182"/>
      <c r="K231" s="142"/>
      <c r="L231" s="173"/>
      <c r="M231" s="173"/>
      <c r="N231" s="173"/>
      <c r="O231" s="173"/>
      <c r="P231" s="173"/>
      <c r="Q231" s="35"/>
      <c r="R231" s="58"/>
      <c r="S231" s="1"/>
      <c r="T231" s="1"/>
    </row>
    <row r="232" spans="1:20" s="33" customFormat="1" x14ac:dyDescent="0.2">
      <c r="A232" s="110"/>
      <c r="B232" s="111"/>
      <c r="C232" s="168"/>
      <c r="D232" s="169"/>
      <c r="E232" s="128"/>
      <c r="F232" s="129"/>
      <c r="G232" s="130"/>
      <c r="H232" s="138"/>
      <c r="I232" s="182"/>
      <c r="J232" s="182"/>
      <c r="K232" s="142"/>
      <c r="L232" s="173"/>
      <c r="M232" s="173"/>
      <c r="N232" s="173"/>
      <c r="O232" s="173"/>
      <c r="P232" s="173"/>
      <c r="Q232" s="35"/>
      <c r="R232" s="58"/>
      <c r="S232" s="1"/>
      <c r="T232" s="1"/>
    </row>
    <row r="233" spans="1:20" s="33" customFormat="1" x14ac:dyDescent="0.2">
      <c r="A233" s="110"/>
      <c r="B233" s="111"/>
      <c r="C233" s="168"/>
      <c r="D233" s="169"/>
      <c r="E233" s="128"/>
      <c r="F233" s="129"/>
      <c r="G233" s="130"/>
      <c r="H233" s="138"/>
      <c r="I233" s="182"/>
      <c r="J233" s="182"/>
      <c r="K233" s="142"/>
      <c r="L233" s="173"/>
      <c r="M233" s="173"/>
      <c r="N233" s="173"/>
      <c r="O233" s="173"/>
      <c r="P233" s="173"/>
      <c r="Q233" s="35"/>
      <c r="R233" s="58"/>
      <c r="S233" s="1"/>
      <c r="T233" s="1"/>
    </row>
    <row r="234" spans="1:20" s="33" customFormat="1" x14ac:dyDescent="0.2">
      <c r="A234" s="110"/>
      <c r="B234" s="111"/>
      <c r="C234" s="168"/>
      <c r="D234" s="169"/>
      <c r="E234" s="128"/>
      <c r="F234" s="129"/>
      <c r="G234" s="130"/>
      <c r="H234" s="138"/>
      <c r="I234" s="182"/>
      <c r="J234" s="182"/>
      <c r="K234" s="142"/>
      <c r="L234" s="173"/>
      <c r="M234" s="173"/>
      <c r="N234" s="173"/>
      <c r="O234" s="173"/>
      <c r="P234" s="173"/>
      <c r="Q234" s="35"/>
      <c r="R234" s="58"/>
      <c r="S234" s="1"/>
      <c r="T234" s="1"/>
    </row>
    <row r="235" spans="1:20" s="33" customFormat="1" x14ac:dyDescent="0.2">
      <c r="A235" s="110"/>
      <c r="B235" s="111"/>
      <c r="C235" s="168"/>
      <c r="D235" s="169"/>
      <c r="E235" s="128"/>
      <c r="F235" s="129"/>
      <c r="G235" s="130"/>
      <c r="H235" s="138"/>
      <c r="I235" s="182"/>
      <c r="J235" s="182"/>
      <c r="K235" s="142"/>
      <c r="L235" s="173"/>
      <c r="M235" s="173"/>
      <c r="N235" s="173"/>
      <c r="O235" s="173"/>
      <c r="P235" s="173"/>
      <c r="Q235" s="35"/>
      <c r="R235" s="58"/>
      <c r="S235" s="1"/>
      <c r="T235" s="1"/>
    </row>
    <row r="236" spans="1:20" s="33" customFormat="1" x14ac:dyDescent="0.2">
      <c r="A236" s="110"/>
      <c r="B236" s="111"/>
      <c r="C236" s="168"/>
      <c r="D236" s="169"/>
      <c r="E236" s="128"/>
      <c r="F236" s="129"/>
      <c r="G236" s="130"/>
      <c r="H236" s="138"/>
      <c r="I236" s="182"/>
      <c r="J236" s="182"/>
      <c r="K236" s="142"/>
      <c r="L236" s="173"/>
      <c r="M236" s="173"/>
      <c r="N236" s="173"/>
      <c r="O236" s="173"/>
      <c r="P236" s="173"/>
      <c r="Q236" s="35"/>
      <c r="R236" s="58"/>
      <c r="S236" s="1"/>
      <c r="T236" s="1"/>
    </row>
    <row r="237" spans="1:20" s="33" customFormat="1" x14ac:dyDescent="0.2">
      <c r="A237" s="110"/>
      <c r="B237" s="111"/>
      <c r="C237" s="168"/>
      <c r="D237" s="169"/>
      <c r="E237" s="128"/>
      <c r="F237" s="129"/>
      <c r="G237" s="130"/>
      <c r="H237" s="138"/>
      <c r="I237" s="182"/>
      <c r="J237" s="182"/>
      <c r="K237" s="142"/>
      <c r="L237" s="173"/>
      <c r="M237" s="173"/>
      <c r="N237" s="173"/>
      <c r="O237" s="173"/>
      <c r="P237" s="173"/>
      <c r="Q237" s="35"/>
      <c r="R237" s="58"/>
      <c r="S237" s="1"/>
      <c r="T237" s="1"/>
    </row>
    <row r="238" spans="1:20" s="33" customFormat="1" x14ac:dyDescent="0.2">
      <c r="A238" s="110"/>
      <c r="B238" s="111"/>
      <c r="C238" s="168"/>
      <c r="D238" s="169"/>
      <c r="E238" s="128"/>
      <c r="F238" s="129"/>
      <c r="G238" s="130"/>
      <c r="H238" s="138"/>
      <c r="I238" s="182"/>
      <c r="J238" s="182"/>
      <c r="K238" s="142"/>
      <c r="L238" s="173"/>
      <c r="M238" s="173"/>
      <c r="N238" s="173"/>
      <c r="O238" s="173"/>
      <c r="P238" s="173"/>
      <c r="Q238" s="35"/>
      <c r="R238" s="58"/>
      <c r="S238" s="1"/>
      <c r="T238" s="1"/>
    </row>
    <row r="239" spans="1:20" s="33" customFormat="1" x14ac:dyDescent="0.2">
      <c r="A239" s="110"/>
      <c r="B239" s="111"/>
      <c r="C239" s="168"/>
      <c r="D239" s="169"/>
      <c r="E239" s="128"/>
      <c r="F239" s="129"/>
      <c r="G239" s="130"/>
      <c r="H239" s="138"/>
      <c r="I239" s="182"/>
      <c r="J239" s="182"/>
      <c r="K239" s="142"/>
      <c r="L239" s="173"/>
      <c r="M239" s="173"/>
      <c r="N239" s="173"/>
      <c r="O239" s="173"/>
      <c r="P239" s="173"/>
      <c r="Q239" s="35"/>
      <c r="R239" s="58"/>
      <c r="S239" s="1"/>
      <c r="T239" s="1"/>
    </row>
    <row r="240" spans="1:20" s="33" customFormat="1" x14ac:dyDescent="0.2">
      <c r="A240" s="110"/>
      <c r="B240" s="111"/>
      <c r="C240" s="168"/>
      <c r="D240" s="169"/>
      <c r="E240" s="128"/>
      <c r="F240" s="129"/>
      <c r="G240" s="130"/>
      <c r="H240" s="138"/>
      <c r="I240" s="182"/>
      <c r="J240" s="182"/>
      <c r="K240" s="142"/>
      <c r="L240" s="173"/>
      <c r="M240" s="173"/>
      <c r="N240" s="173"/>
      <c r="O240" s="173"/>
      <c r="P240" s="173"/>
      <c r="Q240" s="35"/>
      <c r="R240" s="58"/>
      <c r="S240" s="1"/>
      <c r="T240" s="1"/>
    </row>
    <row r="241" spans="1:20" s="33" customFormat="1" x14ac:dyDescent="0.2">
      <c r="A241" s="110"/>
      <c r="B241" s="111"/>
      <c r="C241" s="168"/>
      <c r="D241" s="169"/>
      <c r="E241" s="128"/>
      <c r="F241" s="129"/>
      <c r="G241" s="130"/>
      <c r="H241" s="138"/>
      <c r="I241" s="182"/>
      <c r="J241" s="182"/>
      <c r="K241" s="142"/>
      <c r="L241" s="173"/>
      <c r="M241" s="173"/>
      <c r="N241" s="173"/>
      <c r="O241" s="173"/>
      <c r="P241" s="173"/>
      <c r="Q241" s="35"/>
      <c r="R241" s="58"/>
      <c r="S241" s="1"/>
      <c r="T241" s="1"/>
    </row>
    <row r="242" spans="1:20" s="33" customFormat="1" x14ac:dyDescent="0.2">
      <c r="A242" s="110"/>
      <c r="B242" s="111"/>
      <c r="C242" s="168"/>
      <c r="D242" s="169"/>
      <c r="E242" s="128"/>
      <c r="F242" s="129"/>
      <c r="G242" s="130"/>
      <c r="H242" s="138"/>
      <c r="I242" s="182"/>
      <c r="J242" s="182"/>
      <c r="K242" s="142"/>
      <c r="L242" s="173"/>
      <c r="M242" s="173"/>
      <c r="N242" s="173"/>
      <c r="O242" s="173"/>
      <c r="P242" s="173"/>
      <c r="Q242" s="35"/>
      <c r="R242" s="58"/>
      <c r="S242" s="1"/>
      <c r="T242" s="1"/>
    </row>
    <row r="243" spans="1:20" s="33" customFormat="1" x14ac:dyDescent="0.2">
      <c r="A243" s="110"/>
      <c r="B243" s="111"/>
      <c r="C243" s="168"/>
      <c r="D243" s="169"/>
      <c r="E243" s="128"/>
      <c r="F243" s="129"/>
      <c r="G243" s="130"/>
      <c r="H243" s="138"/>
      <c r="I243" s="182"/>
      <c r="J243" s="182"/>
      <c r="K243" s="142"/>
      <c r="L243" s="173"/>
      <c r="M243" s="173"/>
      <c r="N243" s="173"/>
      <c r="O243" s="173"/>
      <c r="P243" s="173"/>
      <c r="Q243" s="35"/>
      <c r="R243" s="58"/>
      <c r="S243" s="1"/>
      <c r="T243" s="1"/>
    </row>
    <row r="244" spans="1:20" s="33" customFormat="1" x14ac:dyDescent="0.2">
      <c r="A244" s="110"/>
      <c r="B244" s="111"/>
      <c r="C244" s="168"/>
      <c r="D244" s="169"/>
      <c r="E244" s="128"/>
      <c r="F244" s="129"/>
      <c r="G244" s="130"/>
      <c r="H244" s="138"/>
      <c r="I244" s="182"/>
      <c r="J244" s="182"/>
      <c r="K244" s="142"/>
      <c r="L244" s="173"/>
      <c r="M244" s="173"/>
      <c r="N244" s="173"/>
      <c r="O244" s="173"/>
      <c r="P244" s="173"/>
      <c r="Q244" s="35"/>
      <c r="R244" s="58"/>
      <c r="S244" s="1"/>
      <c r="T244" s="1"/>
    </row>
    <row r="245" spans="1:20" s="33" customFormat="1" x14ac:dyDescent="0.2">
      <c r="A245" s="110"/>
      <c r="B245" s="111"/>
      <c r="C245" s="168"/>
      <c r="D245" s="169"/>
      <c r="E245" s="128"/>
      <c r="F245" s="129"/>
      <c r="G245" s="130"/>
      <c r="H245" s="138"/>
      <c r="I245" s="182"/>
      <c r="J245" s="182"/>
      <c r="K245" s="142"/>
      <c r="L245" s="173"/>
      <c r="M245" s="173"/>
      <c r="N245" s="173"/>
      <c r="O245" s="173"/>
      <c r="P245" s="173"/>
      <c r="Q245" s="35"/>
      <c r="R245" s="58"/>
      <c r="S245" s="1"/>
      <c r="T245" s="1"/>
    </row>
    <row r="246" spans="1:20" s="33" customFormat="1" x14ac:dyDescent="0.2">
      <c r="A246" s="110"/>
      <c r="B246" s="111"/>
      <c r="C246" s="168"/>
      <c r="D246" s="169"/>
      <c r="E246" s="128"/>
      <c r="F246" s="129"/>
      <c r="G246" s="130"/>
      <c r="H246" s="138"/>
      <c r="I246" s="182"/>
      <c r="J246" s="182"/>
      <c r="K246" s="142"/>
      <c r="L246" s="173"/>
      <c r="M246" s="173"/>
      <c r="N246" s="173"/>
      <c r="O246" s="173"/>
      <c r="P246" s="173"/>
      <c r="Q246" s="35"/>
      <c r="R246" s="58"/>
      <c r="S246" s="1"/>
      <c r="T246" s="1"/>
    </row>
    <row r="247" spans="1:20" s="33" customFormat="1" x14ac:dyDescent="0.2">
      <c r="A247" s="110"/>
      <c r="B247" s="111"/>
      <c r="C247" s="168"/>
      <c r="D247" s="169"/>
      <c r="E247" s="128"/>
      <c r="F247" s="129"/>
      <c r="G247" s="130"/>
      <c r="H247" s="138"/>
      <c r="I247" s="182"/>
      <c r="J247" s="182"/>
      <c r="K247" s="142"/>
      <c r="L247" s="173"/>
      <c r="M247" s="173"/>
      <c r="N247" s="173"/>
      <c r="O247" s="173"/>
      <c r="P247" s="173"/>
      <c r="Q247" s="35"/>
      <c r="R247" s="58"/>
      <c r="S247" s="1"/>
      <c r="T247" s="1"/>
    </row>
    <row r="248" spans="1:20" s="33" customFormat="1" x14ac:dyDescent="0.2">
      <c r="A248" s="110"/>
      <c r="B248" s="111"/>
      <c r="C248" s="168"/>
      <c r="D248" s="169"/>
      <c r="E248" s="128"/>
      <c r="F248" s="129"/>
      <c r="G248" s="130"/>
      <c r="H248" s="138"/>
      <c r="I248" s="182"/>
      <c r="J248" s="182"/>
      <c r="K248" s="142"/>
      <c r="L248" s="173"/>
      <c r="M248" s="173"/>
      <c r="N248" s="173"/>
      <c r="O248" s="173"/>
      <c r="P248" s="173"/>
      <c r="Q248" s="35"/>
      <c r="R248" s="58"/>
      <c r="S248" s="1"/>
      <c r="T248" s="1"/>
    </row>
    <row r="249" spans="1:20" s="33" customFormat="1" x14ac:dyDescent="0.2">
      <c r="A249" s="110"/>
      <c r="B249" s="111"/>
      <c r="C249" s="168"/>
      <c r="D249" s="169"/>
      <c r="E249" s="128"/>
      <c r="F249" s="129"/>
      <c r="G249" s="130"/>
      <c r="H249" s="138"/>
      <c r="I249" s="182"/>
      <c r="J249" s="182"/>
      <c r="K249" s="142"/>
      <c r="L249" s="173"/>
      <c r="M249" s="173"/>
      <c r="N249" s="173"/>
      <c r="O249" s="173"/>
      <c r="P249" s="173"/>
      <c r="Q249" s="35"/>
      <c r="R249" s="58"/>
      <c r="S249" s="1"/>
      <c r="T249" s="1"/>
    </row>
    <row r="250" spans="1:20" s="33" customFormat="1" x14ac:dyDescent="0.2">
      <c r="A250" s="110"/>
      <c r="B250" s="111"/>
      <c r="C250" s="168"/>
      <c r="D250" s="169"/>
      <c r="E250" s="128"/>
      <c r="F250" s="129"/>
      <c r="G250" s="130"/>
      <c r="H250" s="138"/>
      <c r="I250" s="182"/>
      <c r="J250" s="182"/>
      <c r="K250" s="142"/>
      <c r="L250" s="173"/>
      <c r="M250" s="173"/>
      <c r="N250" s="173"/>
      <c r="O250" s="173"/>
      <c r="P250" s="173"/>
      <c r="Q250" s="35"/>
      <c r="R250" s="58"/>
      <c r="S250" s="1"/>
      <c r="T250" s="1"/>
    </row>
    <row r="251" spans="1:20" s="33" customFormat="1" x14ac:dyDescent="0.2">
      <c r="A251" s="110"/>
      <c r="B251" s="111"/>
      <c r="C251" s="168"/>
      <c r="D251" s="169"/>
      <c r="E251" s="128"/>
      <c r="F251" s="129"/>
      <c r="G251" s="130"/>
      <c r="H251" s="138"/>
      <c r="I251" s="182"/>
      <c r="J251" s="182"/>
      <c r="K251" s="142"/>
      <c r="L251" s="173"/>
      <c r="M251" s="173"/>
      <c r="N251" s="173"/>
      <c r="O251" s="173"/>
      <c r="P251" s="173"/>
      <c r="Q251" s="35"/>
      <c r="R251" s="58"/>
      <c r="S251" s="1"/>
      <c r="T251" s="1"/>
    </row>
    <row r="252" spans="1:20" s="33" customFormat="1" x14ac:dyDescent="0.2">
      <c r="A252" s="110"/>
      <c r="B252" s="111"/>
      <c r="C252" s="168"/>
      <c r="D252" s="169"/>
      <c r="E252" s="128"/>
      <c r="F252" s="129"/>
      <c r="G252" s="130"/>
      <c r="H252" s="138"/>
      <c r="I252" s="182"/>
      <c r="J252" s="182"/>
      <c r="K252" s="142"/>
      <c r="L252" s="173"/>
      <c r="M252" s="173"/>
      <c r="N252" s="173"/>
      <c r="O252" s="173"/>
      <c r="P252" s="173"/>
      <c r="Q252" s="35"/>
      <c r="R252" s="58"/>
      <c r="S252" s="1"/>
      <c r="T252" s="1"/>
    </row>
    <row r="253" spans="1:20" s="33" customFormat="1" x14ac:dyDescent="0.2">
      <c r="A253" s="110"/>
      <c r="B253" s="111"/>
      <c r="C253" s="168"/>
      <c r="D253" s="169"/>
      <c r="E253" s="128"/>
      <c r="F253" s="129"/>
      <c r="G253" s="130"/>
      <c r="H253" s="138"/>
      <c r="I253" s="182"/>
      <c r="J253" s="182"/>
      <c r="K253" s="142"/>
      <c r="L253" s="173"/>
      <c r="M253" s="173"/>
      <c r="N253" s="173"/>
      <c r="O253" s="173"/>
      <c r="P253" s="173"/>
      <c r="Q253" s="35"/>
      <c r="R253" s="58"/>
      <c r="S253" s="1"/>
      <c r="T253" s="1"/>
    </row>
    <row r="254" spans="1:20" s="33" customFormat="1" x14ac:dyDescent="0.2">
      <c r="A254" s="110"/>
      <c r="B254" s="111"/>
      <c r="C254" s="168"/>
      <c r="D254" s="169"/>
      <c r="E254" s="128"/>
      <c r="F254" s="129"/>
      <c r="G254" s="130"/>
      <c r="H254" s="138"/>
      <c r="I254" s="182"/>
      <c r="J254" s="182"/>
      <c r="K254" s="142"/>
      <c r="L254" s="173"/>
      <c r="M254" s="173"/>
      <c r="N254" s="173"/>
      <c r="O254" s="173"/>
      <c r="P254" s="173"/>
      <c r="Q254" s="35"/>
      <c r="R254" s="58"/>
      <c r="S254" s="1"/>
      <c r="T254" s="1"/>
    </row>
    <row r="255" spans="1:20" s="33" customFormat="1" x14ac:dyDescent="0.2">
      <c r="A255" s="110"/>
      <c r="B255" s="111"/>
      <c r="C255" s="168"/>
      <c r="D255" s="169"/>
      <c r="E255" s="128"/>
      <c r="F255" s="129"/>
      <c r="G255" s="130"/>
      <c r="H255" s="138"/>
      <c r="I255" s="182"/>
      <c r="J255" s="182"/>
      <c r="K255" s="142"/>
      <c r="L255" s="173"/>
      <c r="M255" s="173"/>
      <c r="N255" s="173"/>
      <c r="O255" s="173"/>
      <c r="P255" s="173"/>
      <c r="Q255" s="35"/>
      <c r="R255" s="58"/>
      <c r="S255" s="1"/>
      <c r="T255" s="1"/>
    </row>
    <row r="256" spans="1:20" s="33" customFormat="1" x14ac:dyDescent="0.2">
      <c r="A256" s="110"/>
      <c r="B256" s="111"/>
      <c r="C256" s="168"/>
      <c r="D256" s="169"/>
      <c r="E256" s="128"/>
      <c r="F256" s="129"/>
      <c r="G256" s="130"/>
      <c r="H256" s="138"/>
      <c r="I256" s="182"/>
      <c r="J256" s="182"/>
      <c r="K256" s="142"/>
      <c r="L256" s="173"/>
      <c r="M256" s="173"/>
      <c r="N256" s="173"/>
      <c r="O256" s="173"/>
      <c r="P256" s="173"/>
      <c r="Q256" s="35"/>
      <c r="R256" s="58"/>
      <c r="S256" s="1"/>
      <c r="T256" s="1"/>
    </row>
    <row r="257" spans="1:20" s="33" customFormat="1" x14ac:dyDescent="0.2">
      <c r="A257" s="110"/>
      <c r="B257" s="111"/>
      <c r="C257" s="168"/>
      <c r="D257" s="169"/>
      <c r="E257" s="128"/>
      <c r="F257" s="129"/>
      <c r="G257" s="130"/>
      <c r="H257" s="138"/>
      <c r="I257" s="182"/>
      <c r="J257" s="182"/>
      <c r="K257" s="142"/>
      <c r="L257" s="173"/>
      <c r="M257" s="173"/>
      <c r="N257" s="173"/>
      <c r="O257" s="173"/>
      <c r="P257" s="173"/>
      <c r="Q257" s="35"/>
      <c r="R257" s="58"/>
      <c r="S257" s="1"/>
      <c r="T257" s="1"/>
    </row>
    <row r="258" spans="1:20" s="33" customFormat="1" x14ac:dyDescent="0.2">
      <c r="A258" s="110"/>
      <c r="B258" s="111"/>
      <c r="C258" s="168"/>
      <c r="D258" s="169"/>
      <c r="E258" s="128"/>
      <c r="F258" s="129"/>
      <c r="G258" s="130"/>
      <c r="H258" s="138"/>
      <c r="I258" s="182"/>
      <c r="J258" s="182"/>
      <c r="K258" s="142"/>
      <c r="L258" s="173"/>
      <c r="M258" s="173"/>
      <c r="N258" s="173"/>
      <c r="O258" s="173"/>
      <c r="P258" s="173"/>
      <c r="Q258" s="35"/>
      <c r="R258" s="58"/>
      <c r="S258" s="1"/>
      <c r="T258" s="1"/>
    </row>
    <row r="259" spans="1:20" s="33" customFormat="1" x14ac:dyDescent="0.2">
      <c r="A259" s="110"/>
      <c r="B259" s="111"/>
      <c r="C259" s="168"/>
      <c r="D259" s="169"/>
      <c r="E259" s="128"/>
      <c r="F259" s="129"/>
      <c r="G259" s="130"/>
      <c r="H259" s="138"/>
      <c r="I259" s="182"/>
      <c r="J259" s="182"/>
      <c r="K259" s="142"/>
      <c r="L259" s="173"/>
      <c r="M259" s="173"/>
      <c r="N259" s="173"/>
      <c r="O259" s="173"/>
      <c r="P259" s="173"/>
      <c r="Q259" s="35"/>
      <c r="R259" s="58"/>
      <c r="S259" s="1"/>
      <c r="T259" s="1"/>
    </row>
    <row r="260" spans="1:20" s="33" customFormat="1" x14ac:dyDescent="0.2">
      <c r="A260" s="110"/>
      <c r="B260" s="111"/>
      <c r="C260" s="168"/>
      <c r="D260" s="169"/>
      <c r="E260" s="128"/>
      <c r="F260" s="129"/>
      <c r="G260" s="130"/>
      <c r="H260" s="138"/>
      <c r="I260" s="182"/>
      <c r="J260" s="182"/>
      <c r="K260" s="142"/>
      <c r="L260" s="173"/>
      <c r="M260" s="173"/>
      <c r="N260" s="173"/>
      <c r="O260" s="173"/>
      <c r="P260" s="173"/>
      <c r="Q260" s="35"/>
      <c r="R260" s="58"/>
      <c r="S260" s="1"/>
      <c r="T260" s="1"/>
    </row>
    <row r="261" spans="1:20" s="33" customFormat="1" x14ac:dyDescent="0.2">
      <c r="A261" s="110"/>
      <c r="B261" s="111"/>
      <c r="C261" s="168"/>
      <c r="D261" s="169"/>
      <c r="E261" s="128"/>
      <c r="F261" s="129"/>
      <c r="G261" s="130"/>
      <c r="H261" s="138"/>
      <c r="I261" s="182"/>
      <c r="J261" s="182"/>
      <c r="K261" s="142"/>
      <c r="L261" s="173"/>
      <c r="M261" s="173"/>
      <c r="N261" s="173"/>
      <c r="O261" s="173"/>
      <c r="P261" s="173"/>
      <c r="Q261" s="35"/>
      <c r="R261" s="58"/>
      <c r="S261" s="1"/>
      <c r="T261" s="1"/>
    </row>
    <row r="262" spans="1:20" s="33" customFormat="1" x14ac:dyDescent="0.2">
      <c r="A262" s="110"/>
      <c r="B262" s="111"/>
      <c r="C262" s="168"/>
      <c r="D262" s="169"/>
      <c r="E262" s="128"/>
      <c r="F262" s="129"/>
      <c r="G262" s="130"/>
      <c r="H262" s="138"/>
      <c r="I262" s="182"/>
      <c r="J262" s="182"/>
      <c r="K262" s="142"/>
      <c r="L262" s="173"/>
      <c r="M262" s="173"/>
      <c r="N262" s="173"/>
      <c r="O262" s="173"/>
      <c r="P262" s="173"/>
      <c r="Q262" s="35"/>
      <c r="R262" s="58"/>
      <c r="S262" s="1"/>
      <c r="T262" s="1"/>
    </row>
    <row r="263" spans="1:20" s="33" customFormat="1" x14ac:dyDescent="0.2">
      <c r="A263" s="110"/>
      <c r="B263" s="111"/>
      <c r="C263" s="168"/>
      <c r="D263" s="169"/>
      <c r="E263" s="128"/>
      <c r="F263" s="129"/>
      <c r="G263" s="130"/>
      <c r="H263" s="138"/>
      <c r="I263" s="182"/>
      <c r="J263" s="182"/>
      <c r="K263" s="142"/>
      <c r="L263" s="173"/>
      <c r="M263" s="173"/>
      <c r="N263" s="173"/>
      <c r="O263" s="173"/>
      <c r="P263" s="173"/>
      <c r="Q263" s="35"/>
      <c r="R263" s="58"/>
      <c r="S263" s="1"/>
      <c r="T263" s="1"/>
    </row>
    <row r="264" spans="1:20" s="33" customFormat="1" x14ac:dyDescent="0.2">
      <c r="A264" s="110"/>
      <c r="B264" s="111"/>
      <c r="C264" s="168"/>
      <c r="D264" s="169"/>
      <c r="E264" s="128"/>
      <c r="F264" s="129"/>
      <c r="G264" s="130"/>
      <c r="H264" s="138"/>
      <c r="I264" s="182"/>
      <c r="J264" s="182"/>
      <c r="K264" s="142"/>
      <c r="L264" s="173"/>
      <c r="M264" s="173"/>
      <c r="N264" s="173"/>
      <c r="O264" s="173"/>
      <c r="P264" s="173"/>
      <c r="Q264" s="35"/>
      <c r="R264" s="58"/>
      <c r="S264" s="1"/>
      <c r="T264" s="1"/>
    </row>
    <row r="265" spans="1:20" s="33" customFormat="1" x14ac:dyDescent="0.2">
      <c r="A265" s="110"/>
      <c r="B265" s="111"/>
      <c r="C265" s="168"/>
      <c r="D265" s="169"/>
      <c r="E265" s="128"/>
      <c r="F265" s="129"/>
      <c r="G265" s="130"/>
      <c r="H265" s="138"/>
      <c r="I265" s="182"/>
      <c r="J265" s="182"/>
      <c r="K265" s="142"/>
      <c r="L265" s="173"/>
      <c r="M265" s="173"/>
      <c r="N265" s="173"/>
      <c r="O265" s="173"/>
      <c r="P265" s="173"/>
      <c r="Q265" s="35"/>
      <c r="R265" s="58"/>
      <c r="S265" s="1"/>
      <c r="T265" s="1"/>
    </row>
    <row r="266" spans="1:20" s="33" customFormat="1" x14ac:dyDescent="0.2">
      <c r="A266" s="110"/>
      <c r="B266" s="111"/>
      <c r="C266" s="168"/>
      <c r="D266" s="169"/>
      <c r="E266" s="128"/>
      <c r="F266" s="129"/>
      <c r="G266" s="130"/>
      <c r="H266" s="138"/>
      <c r="I266" s="182"/>
      <c r="J266" s="182"/>
      <c r="K266" s="142"/>
      <c r="L266" s="173"/>
      <c r="M266" s="173"/>
      <c r="N266" s="173"/>
      <c r="O266" s="173"/>
      <c r="P266" s="173"/>
      <c r="Q266" s="35"/>
      <c r="R266" s="58"/>
      <c r="S266" s="1"/>
      <c r="T266" s="1"/>
    </row>
    <row r="267" spans="1:20" s="33" customFormat="1" x14ac:dyDescent="0.2">
      <c r="A267" s="110"/>
      <c r="B267" s="111"/>
      <c r="C267" s="168"/>
      <c r="D267" s="169"/>
      <c r="E267" s="128"/>
      <c r="F267" s="129"/>
      <c r="G267" s="130"/>
      <c r="H267" s="138"/>
      <c r="I267" s="182"/>
      <c r="J267" s="182"/>
      <c r="K267" s="142"/>
      <c r="L267" s="173"/>
      <c r="M267" s="173"/>
      <c r="N267" s="173"/>
      <c r="O267" s="173"/>
      <c r="P267" s="173"/>
      <c r="Q267" s="35"/>
      <c r="R267" s="58"/>
      <c r="S267" s="1"/>
      <c r="T267" s="1"/>
    </row>
    <row r="268" spans="1:20" s="33" customFormat="1" x14ac:dyDescent="0.2">
      <c r="A268" s="110"/>
      <c r="B268" s="111"/>
      <c r="C268" s="168"/>
      <c r="D268" s="169"/>
      <c r="E268" s="128"/>
      <c r="F268" s="129"/>
      <c r="G268" s="130"/>
      <c r="H268" s="138"/>
      <c r="I268" s="182"/>
      <c r="J268" s="182"/>
      <c r="K268" s="142"/>
      <c r="L268" s="173"/>
      <c r="M268" s="173"/>
      <c r="N268" s="173"/>
      <c r="O268" s="173"/>
      <c r="P268" s="173"/>
      <c r="Q268" s="35"/>
      <c r="R268" s="58"/>
      <c r="S268" s="1"/>
      <c r="T268" s="1"/>
    </row>
    <row r="269" spans="1:20" s="33" customFormat="1" x14ac:dyDescent="0.2">
      <c r="A269" s="110"/>
      <c r="B269" s="111"/>
      <c r="C269" s="168"/>
      <c r="D269" s="169"/>
      <c r="E269" s="128"/>
      <c r="F269" s="129"/>
      <c r="G269" s="130"/>
      <c r="H269" s="138"/>
      <c r="I269" s="182"/>
      <c r="J269" s="182"/>
      <c r="K269" s="142"/>
      <c r="L269" s="173"/>
      <c r="M269" s="173"/>
      <c r="N269" s="173"/>
      <c r="O269" s="173"/>
      <c r="P269" s="173"/>
      <c r="Q269" s="35"/>
      <c r="R269" s="58"/>
      <c r="S269" s="1"/>
      <c r="T269" s="1"/>
    </row>
    <row r="270" spans="1:20" s="33" customFormat="1" x14ac:dyDescent="0.2">
      <c r="A270" s="110"/>
      <c r="B270" s="111"/>
      <c r="C270" s="168"/>
      <c r="D270" s="169"/>
      <c r="E270" s="128"/>
      <c r="F270" s="129"/>
      <c r="G270" s="130"/>
      <c r="H270" s="138"/>
      <c r="I270" s="182"/>
      <c r="J270" s="182"/>
      <c r="K270" s="142"/>
      <c r="L270" s="173"/>
      <c r="M270" s="173"/>
      <c r="N270" s="173"/>
      <c r="O270" s="173"/>
      <c r="P270" s="173"/>
      <c r="Q270" s="35"/>
      <c r="R270" s="58"/>
      <c r="S270" s="1"/>
      <c r="T270" s="1"/>
    </row>
    <row r="271" spans="1:20" s="33" customFormat="1" x14ac:dyDescent="0.2">
      <c r="A271" s="110"/>
      <c r="B271" s="111"/>
      <c r="C271" s="168"/>
      <c r="D271" s="169"/>
      <c r="E271" s="128"/>
      <c r="F271" s="129"/>
      <c r="G271" s="130"/>
      <c r="H271" s="138"/>
      <c r="I271" s="182"/>
      <c r="J271" s="182"/>
      <c r="K271" s="142"/>
      <c r="L271" s="173"/>
      <c r="M271" s="173"/>
      <c r="N271" s="173"/>
      <c r="O271" s="173"/>
      <c r="P271" s="173"/>
      <c r="Q271" s="35"/>
      <c r="R271" s="58"/>
      <c r="S271" s="1"/>
      <c r="T271" s="1"/>
    </row>
    <row r="272" spans="1:20" s="33" customFormat="1" x14ac:dyDescent="0.2">
      <c r="A272" s="110"/>
      <c r="B272" s="111"/>
      <c r="C272" s="168"/>
      <c r="D272" s="169"/>
      <c r="E272" s="128"/>
      <c r="F272" s="129"/>
      <c r="G272" s="130"/>
      <c r="H272" s="138"/>
      <c r="I272" s="182"/>
      <c r="J272" s="182"/>
      <c r="K272" s="142"/>
      <c r="L272" s="173"/>
      <c r="M272" s="173"/>
      <c r="N272" s="173"/>
      <c r="O272" s="173"/>
      <c r="P272" s="173"/>
      <c r="Q272" s="35"/>
      <c r="R272" s="58"/>
      <c r="S272" s="1"/>
      <c r="T272" s="1"/>
    </row>
    <row r="273" spans="1:20" s="33" customFormat="1" x14ac:dyDescent="0.2">
      <c r="A273" s="110"/>
      <c r="B273" s="111"/>
      <c r="C273" s="168"/>
      <c r="D273" s="169"/>
      <c r="E273" s="128"/>
      <c r="F273" s="129"/>
      <c r="G273" s="130"/>
      <c r="H273" s="138"/>
      <c r="I273" s="182"/>
      <c r="J273" s="182"/>
      <c r="K273" s="142"/>
      <c r="L273" s="173"/>
      <c r="M273" s="173"/>
      <c r="N273" s="173"/>
      <c r="O273" s="173"/>
      <c r="P273" s="173"/>
      <c r="Q273" s="35"/>
      <c r="R273" s="58"/>
      <c r="S273" s="1"/>
      <c r="T273" s="1"/>
    </row>
    <row r="274" spans="1:20" s="33" customFormat="1" x14ac:dyDescent="0.2">
      <c r="A274" s="110"/>
      <c r="B274" s="111"/>
      <c r="C274" s="168"/>
      <c r="D274" s="169"/>
      <c r="E274" s="128"/>
      <c r="F274" s="129"/>
      <c r="G274" s="130"/>
      <c r="H274" s="138"/>
      <c r="I274" s="182"/>
      <c r="J274" s="182"/>
      <c r="K274" s="142"/>
      <c r="L274" s="173"/>
      <c r="M274" s="173"/>
      <c r="N274" s="173"/>
      <c r="O274" s="173"/>
      <c r="P274" s="173"/>
      <c r="Q274" s="35"/>
      <c r="R274" s="58"/>
      <c r="S274" s="1"/>
      <c r="T274" s="1"/>
    </row>
    <row r="275" spans="1:20" s="33" customFormat="1" x14ac:dyDescent="0.2">
      <c r="A275" s="110"/>
      <c r="B275" s="111"/>
      <c r="C275" s="168"/>
      <c r="D275" s="169"/>
      <c r="E275" s="128"/>
      <c r="F275" s="129"/>
      <c r="G275" s="130"/>
      <c r="H275" s="138"/>
      <c r="I275" s="182"/>
      <c r="J275" s="182"/>
      <c r="K275" s="142"/>
      <c r="L275" s="173"/>
      <c r="M275" s="173"/>
      <c r="N275" s="173"/>
      <c r="O275" s="173"/>
      <c r="P275" s="173"/>
      <c r="Q275" s="35"/>
      <c r="R275" s="58"/>
      <c r="S275" s="1"/>
      <c r="T275" s="1"/>
    </row>
    <row r="276" spans="1:20" s="33" customFormat="1" x14ac:dyDescent="0.2">
      <c r="A276" s="110"/>
      <c r="B276" s="111"/>
      <c r="C276" s="168"/>
      <c r="D276" s="169"/>
      <c r="E276" s="128"/>
      <c r="F276" s="129"/>
      <c r="G276" s="130"/>
      <c r="H276" s="138"/>
      <c r="I276" s="182"/>
      <c r="J276" s="182"/>
      <c r="K276" s="142"/>
      <c r="L276" s="173"/>
      <c r="M276" s="173"/>
      <c r="N276" s="173"/>
      <c r="O276" s="173"/>
      <c r="P276" s="173"/>
      <c r="Q276" s="35"/>
      <c r="R276" s="58"/>
      <c r="S276" s="1"/>
      <c r="T276" s="1"/>
    </row>
    <row r="277" spans="1:20" s="33" customFormat="1" x14ac:dyDescent="0.2">
      <c r="A277" s="110"/>
      <c r="B277" s="111"/>
      <c r="C277" s="168"/>
      <c r="D277" s="169"/>
      <c r="E277" s="128"/>
      <c r="F277" s="129"/>
      <c r="G277" s="130"/>
      <c r="H277" s="138"/>
      <c r="I277" s="182"/>
      <c r="J277" s="182"/>
      <c r="K277" s="142"/>
      <c r="L277" s="173"/>
      <c r="M277" s="173"/>
      <c r="N277" s="173"/>
      <c r="O277" s="173"/>
      <c r="P277" s="173"/>
      <c r="Q277" s="35"/>
      <c r="R277" s="58"/>
      <c r="S277" s="1"/>
      <c r="T277" s="1"/>
    </row>
    <row r="278" spans="1:20" s="33" customFormat="1" x14ac:dyDescent="0.2">
      <c r="A278" s="110"/>
      <c r="B278" s="111"/>
      <c r="C278" s="168"/>
      <c r="D278" s="169"/>
      <c r="E278" s="128"/>
      <c r="F278" s="129"/>
      <c r="G278" s="130"/>
      <c r="H278" s="138"/>
      <c r="I278" s="182"/>
      <c r="J278" s="182"/>
      <c r="K278" s="142"/>
      <c r="L278" s="173"/>
      <c r="M278" s="173"/>
      <c r="N278" s="173"/>
      <c r="O278" s="173"/>
      <c r="P278" s="173"/>
      <c r="Q278" s="35"/>
      <c r="R278" s="58"/>
      <c r="S278" s="1"/>
      <c r="T278" s="1"/>
    </row>
    <row r="279" spans="1:20" s="33" customFormat="1" x14ac:dyDescent="0.2">
      <c r="A279" s="110"/>
      <c r="B279" s="111"/>
      <c r="C279" s="168"/>
      <c r="D279" s="169"/>
      <c r="E279" s="128"/>
      <c r="F279" s="129"/>
      <c r="G279" s="130"/>
      <c r="H279" s="138"/>
      <c r="I279" s="182"/>
      <c r="J279" s="182"/>
      <c r="K279" s="142"/>
      <c r="L279" s="173"/>
      <c r="M279" s="173"/>
      <c r="N279" s="173"/>
      <c r="O279" s="173"/>
      <c r="P279" s="173"/>
      <c r="Q279" s="35"/>
      <c r="R279" s="58"/>
      <c r="S279" s="1"/>
      <c r="T279" s="1"/>
    </row>
    <row r="280" spans="1:20" s="33" customFormat="1" x14ac:dyDescent="0.2">
      <c r="A280" s="110"/>
      <c r="B280" s="111"/>
      <c r="C280" s="168"/>
      <c r="D280" s="169"/>
      <c r="E280" s="128"/>
      <c r="F280" s="129"/>
      <c r="G280" s="130"/>
      <c r="H280" s="138"/>
      <c r="I280" s="182"/>
      <c r="J280" s="182"/>
      <c r="K280" s="142"/>
      <c r="L280" s="173"/>
      <c r="M280" s="173"/>
      <c r="N280" s="173"/>
      <c r="O280" s="173"/>
      <c r="P280" s="173"/>
      <c r="Q280" s="35"/>
      <c r="R280" s="58"/>
      <c r="S280" s="1"/>
      <c r="T280" s="1"/>
    </row>
    <row r="281" spans="1:20" s="33" customFormat="1" x14ac:dyDescent="0.2">
      <c r="A281" s="110"/>
      <c r="B281" s="111"/>
      <c r="C281" s="168"/>
      <c r="D281" s="169"/>
      <c r="E281" s="128"/>
      <c r="F281" s="129"/>
      <c r="G281" s="130"/>
      <c r="H281" s="138"/>
      <c r="I281" s="182"/>
      <c r="J281" s="182"/>
      <c r="K281" s="142"/>
      <c r="L281" s="173"/>
      <c r="M281" s="173"/>
      <c r="N281" s="173"/>
      <c r="O281" s="173"/>
      <c r="P281" s="173"/>
      <c r="Q281" s="35"/>
      <c r="R281" s="58"/>
      <c r="S281" s="1"/>
      <c r="T281" s="1"/>
    </row>
    <row r="282" spans="1:20" s="33" customFormat="1" x14ac:dyDescent="0.2">
      <c r="A282" s="110"/>
      <c r="B282" s="111"/>
      <c r="C282" s="168"/>
      <c r="D282" s="169"/>
      <c r="E282" s="128"/>
      <c r="F282" s="129"/>
      <c r="G282" s="130"/>
      <c r="H282" s="138"/>
      <c r="I282" s="182"/>
      <c r="J282" s="182"/>
      <c r="K282" s="142"/>
      <c r="L282" s="173"/>
      <c r="M282" s="173"/>
      <c r="N282" s="173"/>
      <c r="O282" s="173"/>
      <c r="P282" s="173"/>
      <c r="Q282" s="35"/>
      <c r="R282" s="58"/>
      <c r="S282" s="1"/>
      <c r="T282" s="1"/>
    </row>
    <row r="283" spans="1:20" s="33" customFormat="1" x14ac:dyDescent="0.2">
      <c r="A283" s="110"/>
      <c r="B283" s="111"/>
      <c r="C283" s="168"/>
      <c r="D283" s="169"/>
      <c r="E283" s="128"/>
      <c r="F283" s="129"/>
      <c r="G283" s="130"/>
      <c r="H283" s="138"/>
      <c r="I283" s="182"/>
      <c r="J283" s="182"/>
      <c r="K283" s="142"/>
      <c r="L283" s="173"/>
      <c r="M283" s="173"/>
      <c r="N283" s="173"/>
      <c r="O283" s="173"/>
      <c r="P283" s="173"/>
      <c r="Q283" s="35"/>
      <c r="R283" s="58"/>
      <c r="S283" s="1"/>
      <c r="T283" s="1"/>
    </row>
    <row r="284" spans="1:20" s="33" customFormat="1" x14ac:dyDescent="0.2">
      <c r="A284" s="110"/>
      <c r="B284" s="111"/>
      <c r="C284" s="168"/>
      <c r="D284" s="169"/>
      <c r="E284" s="128"/>
      <c r="F284" s="129"/>
      <c r="G284" s="130"/>
      <c r="H284" s="138"/>
      <c r="I284" s="182"/>
      <c r="J284" s="182"/>
      <c r="K284" s="142"/>
      <c r="L284" s="173"/>
      <c r="M284" s="173"/>
      <c r="N284" s="173"/>
      <c r="O284" s="173"/>
      <c r="P284" s="173"/>
      <c r="Q284" s="35"/>
      <c r="R284" s="58"/>
      <c r="S284" s="1"/>
      <c r="T284" s="1"/>
    </row>
    <row r="285" spans="1:20" s="33" customFormat="1" x14ac:dyDescent="0.2">
      <c r="A285" s="110"/>
      <c r="B285" s="111"/>
      <c r="C285" s="168"/>
      <c r="D285" s="169"/>
      <c r="E285" s="128"/>
      <c r="F285" s="129"/>
      <c r="G285" s="130"/>
      <c r="H285" s="138"/>
      <c r="I285" s="182"/>
      <c r="J285" s="182"/>
      <c r="K285" s="142"/>
      <c r="L285" s="173"/>
      <c r="M285" s="173"/>
      <c r="N285" s="173"/>
      <c r="O285" s="173"/>
      <c r="P285" s="173"/>
      <c r="Q285" s="35"/>
      <c r="R285" s="58"/>
      <c r="S285" s="1"/>
      <c r="T285" s="1"/>
    </row>
    <row r="286" spans="1:20" s="33" customFormat="1" x14ac:dyDescent="0.2">
      <c r="A286" s="110"/>
      <c r="B286" s="111"/>
      <c r="C286" s="168"/>
      <c r="D286" s="169"/>
      <c r="E286" s="128"/>
      <c r="F286" s="129"/>
      <c r="G286" s="130"/>
      <c r="H286" s="138"/>
      <c r="I286" s="182"/>
      <c r="J286" s="182"/>
      <c r="K286" s="142"/>
      <c r="L286" s="173"/>
      <c r="M286" s="173"/>
      <c r="N286" s="173"/>
      <c r="O286" s="173"/>
      <c r="P286" s="173"/>
      <c r="Q286" s="35"/>
      <c r="R286" s="58"/>
      <c r="S286" s="1"/>
      <c r="T286" s="1"/>
    </row>
    <row r="287" spans="1:20" s="33" customFormat="1" x14ac:dyDescent="0.2">
      <c r="A287" s="110"/>
      <c r="B287" s="111"/>
      <c r="C287" s="168"/>
      <c r="D287" s="169"/>
      <c r="E287" s="128"/>
      <c r="F287" s="129"/>
      <c r="G287" s="130"/>
      <c r="H287" s="138"/>
      <c r="I287" s="182"/>
      <c r="J287" s="182"/>
      <c r="K287" s="142"/>
      <c r="L287" s="173"/>
      <c r="M287" s="173"/>
      <c r="N287" s="173"/>
      <c r="O287" s="173"/>
      <c r="P287" s="173"/>
      <c r="Q287" s="35"/>
      <c r="R287" s="58"/>
      <c r="S287" s="1"/>
      <c r="T287" s="1"/>
    </row>
    <row r="288" spans="1:20" s="33" customFormat="1" x14ac:dyDescent="0.2">
      <c r="A288" s="110"/>
      <c r="B288" s="111"/>
      <c r="C288" s="168"/>
      <c r="D288" s="169"/>
      <c r="E288" s="128"/>
      <c r="F288" s="129"/>
      <c r="G288" s="130"/>
      <c r="H288" s="138"/>
      <c r="I288" s="182"/>
      <c r="J288" s="182"/>
      <c r="K288" s="142"/>
      <c r="L288" s="173"/>
      <c r="M288" s="173"/>
      <c r="N288" s="173"/>
      <c r="O288" s="173"/>
      <c r="P288" s="173"/>
      <c r="Q288" s="35"/>
      <c r="R288" s="58"/>
      <c r="S288" s="1"/>
      <c r="T288" s="1"/>
    </row>
    <row r="289" spans="1:20" s="33" customFormat="1" x14ac:dyDescent="0.2">
      <c r="A289" s="110"/>
      <c r="B289" s="111"/>
      <c r="C289" s="168"/>
      <c r="D289" s="169"/>
      <c r="E289" s="128"/>
      <c r="F289" s="129"/>
      <c r="G289" s="130"/>
      <c r="H289" s="138"/>
      <c r="I289" s="182"/>
      <c r="J289" s="182"/>
      <c r="K289" s="142"/>
      <c r="L289" s="173"/>
      <c r="M289" s="173"/>
      <c r="N289" s="173"/>
      <c r="O289" s="173"/>
      <c r="P289" s="173"/>
      <c r="Q289" s="35"/>
      <c r="R289" s="58"/>
      <c r="S289" s="1"/>
      <c r="T289" s="1"/>
    </row>
    <row r="290" spans="1:20" s="33" customFormat="1" x14ac:dyDescent="0.2">
      <c r="A290" s="110"/>
      <c r="B290" s="111"/>
      <c r="C290" s="168"/>
      <c r="D290" s="169"/>
      <c r="E290" s="128"/>
      <c r="F290" s="129"/>
      <c r="G290" s="130"/>
      <c r="H290" s="138"/>
      <c r="I290" s="182"/>
      <c r="J290" s="182"/>
      <c r="K290" s="142"/>
      <c r="L290" s="173"/>
      <c r="M290" s="173"/>
      <c r="N290" s="173"/>
      <c r="O290" s="173"/>
      <c r="P290" s="173"/>
      <c r="Q290" s="35"/>
      <c r="R290" s="58"/>
      <c r="S290" s="1"/>
      <c r="T290" s="1"/>
    </row>
    <row r="291" spans="1:20" s="33" customFormat="1" x14ac:dyDescent="0.2">
      <c r="A291" s="110"/>
      <c r="B291" s="111"/>
      <c r="C291" s="168"/>
      <c r="D291" s="169"/>
      <c r="E291" s="128"/>
      <c r="F291" s="129"/>
      <c r="G291" s="130"/>
      <c r="H291" s="138"/>
      <c r="I291" s="182"/>
      <c r="J291" s="182"/>
      <c r="K291" s="142"/>
      <c r="L291" s="173"/>
      <c r="M291" s="173"/>
      <c r="N291" s="173"/>
      <c r="O291" s="173"/>
      <c r="P291" s="173"/>
      <c r="Q291" s="35"/>
      <c r="R291" s="58"/>
      <c r="S291" s="1"/>
      <c r="T291" s="1"/>
    </row>
    <row r="292" spans="1:20" s="33" customFormat="1" x14ac:dyDescent="0.2">
      <c r="A292" s="110"/>
      <c r="B292" s="111"/>
      <c r="C292" s="168"/>
      <c r="D292" s="169"/>
      <c r="E292" s="128"/>
      <c r="F292" s="129"/>
      <c r="G292" s="130"/>
      <c r="H292" s="138"/>
      <c r="I292" s="182"/>
      <c r="J292" s="182"/>
      <c r="K292" s="142"/>
      <c r="L292" s="173"/>
      <c r="M292" s="173"/>
      <c r="N292" s="173"/>
      <c r="O292" s="173"/>
      <c r="P292" s="173"/>
      <c r="Q292" s="35"/>
      <c r="R292" s="58"/>
      <c r="S292" s="1"/>
      <c r="T292" s="1"/>
    </row>
    <row r="293" spans="1:20" s="33" customFormat="1" x14ac:dyDescent="0.2">
      <c r="A293" s="110"/>
      <c r="B293" s="111"/>
      <c r="C293" s="168"/>
      <c r="D293" s="169"/>
      <c r="E293" s="128"/>
      <c r="F293" s="129"/>
      <c r="G293" s="130"/>
      <c r="H293" s="138"/>
      <c r="I293" s="182"/>
      <c r="J293" s="182"/>
      <c r="K293" s="142"/>
      <c r="L293" s="173"/>
      <c r="M293" s="173"/>
      <c r="N293" s="173"/>
      <c r="O293" s="173"/>
      <c r="P293" s="173"/>
      <c r="Q293" s="35"/>
      <c r="R293" s="58"/>
      <c r="S293" s="1"/>
      <c r="T293" s="1"/>
    </row>
    <row r="294" spans="1:20" s="33" customFormat="1" x14ac:dyDescent="0.2">
      <c r="A294" s="110"/>
      <c r="B294" s="111"/>
      <c r="C294" s="168"/>
      <c r="D294" s="169"/>
      <c r="E294" s="128"/>
      <c r="F294" s="129"/>
      <c r="G294" s="130"/>
      <c r="H294" s="138"/>
      <c r="I294" s="182"/>
      <c r="J294" s="182"/>
      <c r="K294" s="142"/>
      <c r="L294" s="173"/>
      <c r="M294" s="173"/>
      <c r="N294" s="173"/>
      <c r="O294" s="173"/>
      <c r="P294" s="173"/>
      <c r="Q294" s="35"/>
      <c r="R294" s="58"/>
      <c r="S294" s="1"/>
      <c r="T294" s="1"/>
    </row>
    <row r="295" spans="1:20" s="33" customFormat="1" x14ac:dyDescent="0.2">
      <c r="A295" s="110"/>
      <c r="B295" s="111"/>
      <c r="C295" s="168"/>
      <c r="D295" s="169"/>
      <c r="E295" s="128"/>
      <c r="F295" s="129"/>
      <c r="G295" s="130"/>
      <c r="H295" s="138"/>
      <c r="I295" s="182"/>
      <c r="J295" s="182"/>
      <c r="K295" s="142"/>
      <c r="L295" s="173"/>
      <c r="M295" s="173"/>
      <c r="N295" s="173"/>
      <c r="O295" s="173"/>
      <c r="P295" s="173"/>
      <c r="Q295" s="35"/>
      <c r="R295" s="58"/>
      <c r="S295" s="1"/>
      <c r="T295" s="1"/>
    </row>
    <row r="296" spans="1:20" s="33" customFormat="1" x14ac:dyDescent="0.2">
      <c r="A296" s="110"/>
      <c r="B296" s="111"/>
      <c r="C296" s="168"/>
      <c r="D296" s="169"/>
      <c r="E296" s="128"/>
      <c r="F296" s="129"/>
      <c r="G296" s="130"/>
      <c r="H296" s="138"/>
      <c r="I296" s="182"/>
      <c r="J296" s="182"/>
      <c r="K296" s="142"/>
      <c r="L296" s="173"/>
      <c r="M296" s="173"/>
      <c r="N296" s="173"/>
      <c r="O296" s="173"/>
      <c r="P296" s="173"/>
      <c r="Q296" s="35"/>
      <c r="R296" s="58"/>
      <c r="S296" s="1"/>
      <c r="T296" s="1"/>
    </row>
    <row r="297" spans="1:20" s="33" customFormat="1" x14ac:dyDescent="0.2">
      <c r="A297" s="110"/>
      <c r="B297" s="111"/>
      <c r="C297" s="168"/>
      <c r="D297" s="169"/>
      <c r="E297" s="128"/>
      <c r="F297" s="129"/>
      <c r="G297" s="130"/>
      <c r="H297" s="138"/>
      <c r="I297" s="182"/>
      <c r="J297" s="182"/>
      <c r="K297" s="142"/>
      <c r="L297" s="173"/>
      <c r="M297" s="173"/>
      <c r="N297" s="173"/>
      <c r="O297" s="173"/>
      <c r="P297" s="173"/>
      <c r="Q297" s="35"/>
      <c r="R297" s="58"/>
      <c r="S297" s="1"/>
      <c r="T297" s="1"/>
    </row>
    <row r="298" spans="1:20" s="33" customFormat="1" x14ac:dyDescent="0.2">
      <c r="A298" s="110"/>
      <c r="B298" s="111"/>
      <c r="C298" s="168"/>
      <c r="D298" s="169"/>
      <c r="E298" s="128"/>
      <c r="F298" s="129"/>
      <c r="G298" s="130"/>
      <c r="H298" s="138"/>
      <c r="I298" s="182"/>
      <c r="J298" s="182"/>
      <c r="K298" s="142"/>
      <c r="L298" s="173"/>
      <c r="M298" s="173"/>
      <c r="N298" s="173"/>
      <c r="O298" s="173"/>
      <c r="P298" s="173"/>
      <c r="Q298" s="35"/>
      <c r="R298" s="58"/>
      <c r="S298" s="1"/>
      <c r="T298" s="1"/>
    </row>
    <row r="299" spans="1:20" s="33" customFormat="1" x14ac:dyDescent="0.2">
      <c r="A299" s="110"/>
      <c r="B299" s="111"/>
      <c r="C299" s="168"/>
      <c r="D299" s="169"/>
      <c r="E299" s="128"/>
      <c r="F299" s="129"/>
      <c r="G299" s="130"/>
      <c r="H299" s="138"/>
      <c r="I299" s="182"/>
      <c r="J299" s="182"/>
      <c r="K299" s="142"/>
      <c r="L299" s="173"/>
      <c r="M299" s="173"/>
      <c r="N299" s="173"/>
      <c r="O299" s="173"/>
      <c r="P299" s="173"/>
      <c r="Q299" s="35"/>
      <c r="R299" s="58"/>
      <c r="S299" s="1"/>
      <c r="T299" s="1"/>
    </row>
    <row r="300" spans="1:20" s="33" customFormat="1" x14ac:dyDescent="0.2">
      <c r="A300" s="110"/>
      <c r="B300" s="111"/>
      <c r="C300" s="168"/>
      <c r="D300" s="169"/>
      <c r="E300" s="128"/>
      <c r="F300" s="129"/>
      <c r="G300" s="130"/>
      <c r="H300" s="138"/>
      <c r="I300" s="182"/>
      <c r="J300" s="182"/>
      <c r="K300" s="142"/>
      <c r="L300" s="173"/>
      <c r="M300" s="173"/>
      <c r="N300" s="173"/>
      <c r="O300" s="173"/>
      <c r="P300" s="173"/>
      <c r="Q300" s="35"/>
      <c r="R300" s="58"/>
      <c r="S300" s="1"/>
      <c r="T300" s="1"/>
    </row>
    <row r="301" spans="1:20" s="33" customFormat="1" x14ac:dyDescent="0.2">
      <c r="A301" s="110"/>
      <c r="B301" s="111"/>
      <c r="C301" s="168"/>
      <c r="D301" s="169"/>
      <c r="E301" s="128"/>
      <c r="F301" s="129"/>
      <c r="G301" s="130"/>
      <c r="H301" s="138"/>
      <c r="I301" s="182"/>
      <c r="J301" s="182"/>
      <c r="K301" s="142"/>
      <c r="L301" s="173"/>
      <c r="M301" s="173"/>
      <c r="N301" s="173"/>
      <c r="O301" s="173"/>
      <c r="P301" s="173"/>
      <c r="Q301" s="35"/>
      <c r="R301" s="58"/>
      <c r="S301" s="1"/>
      <c r="T301" s="1"/>
    </row>
    <row r="302" spans="1:20" s="33" customFormat="1" x14ac:dyDescent="0.2">
      <c r="A302" s="110"/>
      <c r="B302" s="111"/>
      <c r="C302" s="168"/>
      <c r="D302" s="169"/>
      <c r="E302" s="128"/>
      <c r="F302" s="129"/>
      <c r="G302" s="130"/>
      <c r="H302" s="138"/>
      <c r="I302" s="182"/>
      <c r="J302" s="182"/>
      <c r="K302" s="142"/>
      <c r="L302" s="173"/>
      <c r="M302" s="173"/>
      <c r="N302" s="173"/>
      <c r="O302" s="173"/>
      <c r="P302" s="173"/>
      <c r="Q302" s="35"/>
      <c r="R302" s="58"/>
      <c r="S302" s="1"/>
      <c r="T302" s="1"/>
    </row>
    <row r="303" spans="1:20" s="33" customFormat="1" x14ac:dyDescent="0.2">
      <c r="A303" s="110"/>
      <c r="B303" s="111"/>
      <c r="C303" s="168"/>
      <c r="D303" s="169"/>
      <c r="E303" s="128"/>
      <c r="F303" s="129"/>
      <c r="G303" s="130"/>
      <c r="H303" s="138"/>
      <c r="I303" s="182"/>
      <c r="J303" s="182"/>
      <c r="K303" s="142"/>
      <c r="L303" s="173"/>
      <c r="M303" s="173"/>
      <c r="N303" s="173"/>
      <c r="O303" s="173"/>
      <c r="P303" s="173"/>
      <c r="Q303" s="35"/>
      <c r="R303" s="58"/>
      <c r="S303" s="1"/>
      <c r="T303" s="1"/>
    </row>
    <row r="304" spans="1:20" s="33" customFormat="1" x14ac:dyDescent="0.2">
      <c r="A304" s="110"/>
      <c r="B304" s="111"/>
      <c r="C304" s="168"/>
      <c r="D304" s="169"/>
      <c r="E304" s="128"/>
      <c r="F304" s="129"/>
      <c r="G304" s="130"/>
      <c r="H304" s="138"/>
      <c r="I304" s="182"/>
      <c r="J304" s="182"/>
      <c r="K304" s="142"/>
      <c r="L304" s="173"/>
      <c r="M304" s="173"/>
      <c r="N304" s="173"/>
      <c r="O304" s="173"/>
      <c r="P304" s="173"/>
      <c r="Q304" s="35"/>
      <c r="R304" s="58"/>
      <c r="S304" s="1"/>
      <c r="T304" s="1"/>
    </row>
    <row r="305" spans="1:20" s="33" customFormat="1" x14ac:dyDescent="0.2">
      <c r="A305" s="110"/>
      <c r="B305" s="111"/>
      <c r="C305" s="168"/>
      <c r="D305" s="169"/>
      <c r="E305" s="128"/>
      <c r="F305" s="129"/>
      <c r="G305" s="130"/>
      <c r="H305" s="138"/>
      <c r="I305" s="182"/>
      <c r="J305" s="182"/>
      <c r="K305" s="142"/>
      <c r="L305" s="173"/>
      <c r="M305" s="173"/>
      <c r="N305" s="173"/>
      <c r="O305" s="173"/>
      <c r="P305" s="173"/>
      <c r="Q305" s="35"/>
      <c r="R305" s="58"/>
      <c r="S305" s="1"/>
      <c r="T305" s="1"/>
    </row>
    <row r="306" spans="1:20" s="33" customFormat="1" x14ac:dyDescent="0.2">
      <c r="A306" s="110"/>
      <c r="B306" s="111"/>
      <c r="C306" s="168"/>
      <c r="D306" s="169"/>
      <c r="E306" s="128"/>
      <c r="F306" s="129"/>
      <c r="G306" s="130"/>
      <c r="H306" s="138"/>
      <c r="I306" s="182"/>
      <c r="J306" s="182"/>
      <c r="K306" s="142"/>
      <c r="L306" s="173"/>
      <c r="M306" s="173"/>
      <c r="N306" s="173"/>
      <c r="O306" s="173"/>
      <c r="P306" s="173"/>
      <c r="Q306" s="35"/>
      <c r="R306" s="58"/>
      <c r="S306" s="1"/>
      <c r="T306" s="1"/>
    </row>
    <row r="307" spans="1:20" s="33" customFormat="1" x14ac:dyDescent="0.2">
      <c r="A307" s="110"/>
      <c r="B307" s="111"/>
      <c r="C307" s="168"/>
      <c r="D307" s="169"/>
      <c r="E307" s="128"/>
      <c r="F307" s="129"/>
      <c r="G307" s="130"/>
      <c r="H307" s="138"/>
      <c r="I307" s="182"/>
      <c r="J307" s="182"/>
      <c r="K307" s="142"/>
      <c r="L307" s="173"/>
      <c r="M307" s="173"/>
      <c r="N307" s="173"/>
      <c r="O307" s="173"/>
      <c r="P307" s="173"/>
      <c r="Q307" s="35"/>
      <c r="R307" s="58"/>
      <c r="S307" s="1"/>
      <c r="T307" s="1"/>
    </row>
    <row r="308" spans="1:20" s="33" customFormat="1" x14ac:dyDescent="0.2">
      <c r="A308" s="110"/>
      <c r="B308" s="111"/>
      <c r="C308" s="168"/>
      <c r="D308" s="169"/>
      <c r="E308" s="128"/>
      <c r="F308" s="129"/>
      <c r="G308" s="130"/>
      <c r="H308" s="138"/>
      <c r="I308" s="182"/>
      <c r="J308" s="182"/>
      <c r="K308" s="142"/>
      <c r="L308" s="173"/>
      <c r="M308" s="173"/>
      <c r="N308" s="173"/>
      <c r="O308" s="173"/>
      <c r="P308" s="173"/>
      <c r="Q308" s="35"/>
      <c r="R308" s="58"/>
      <c r="S308" s="1"/>
      <c r="T308" s="1"/>
    </row>
    <row r="309" spans="1:20" s="33" customFormat="1" x14ac:dyDescent="0.2">
      <c r="A309" s="110"/>
      <c r="B309" s="111"/>
      <c r="C309" s="168"/>
      <c r="D309" s="169"/>
      <c r="E309" s="128"/>
      <c r="F309" s="129"/>
      <c r="G309" s="130"/>
      <c r="H309" s="138"/>
      <c r="I309" s="182"/>
      <c r="J309" s="182"/>
      <c r="K309" s="142"/>
      <c r="L309" s="173"/>
      <c r="M309" s="173"/>
      <c r="N309" s="173"/>
      <c r="O309" s="173"/>
      <c r="P309" s="173"/>
      <c r="Q309" s="35"/>
      <c r="R309" s="58"/>
      <c r="S309" s="1"/>
      <c r="T309" s="1"/>
    </row>
    <row r="310" spans="1:20" s="33" customFormat="1" x14ac:dyDescent="0.2">
      <c r="A310" s="110"/>
      <c r="B310" s="111"/>
      <c r="C310" s="168"/>
      <c r="D310" s="169"/>
      <c r="E310" s="128"/>
      <c r="F310" s="129"/>
      <c r="G310" s="130"/>
      <c r="H310" s="138"/>
      <c r="I310" s="182"/>
      <c r="J310" s="182"/>
      <c r="K310" s="142"/>
      <c r="L310" s="173"/>
      <c r="M310" s="173"/>
      <c r="N310" s="173"/>
      <c r="O310" s="173"/>
      <c r="P310" s="173"/>
      <c r="Q310" s="35"/>
      <c r="R310" s="58"/>
      <c r="S310" s="1"/>
      <c r="T310" s="1"/>
    </row>
    <row r="311" spans="1:20" s="33" customFormat="1" x14ac:dyDescent="0.2">
      <c r="A311" s="110"/>
      <c r="B311" s="111"/>
      <c r="C311" s="168"/>
      <c r="D311" s="169"/>
      <c r="E311" s="128"/>
      <c r="F311" s="129"/>
      <c r="G311" s="130"/>
      <c r="H311" s="138"/>
      <c r="I311" s="182"/>
      <c r="J311" s="182"/>
      <c r="K311" s="142"/>
      <c r="L311" s="173"/>
      <c r="M311" s="173"/>
      <c r="N311" s="173"/>
      <c r="O311" s="173"/>
      <c r="P311" s="173"/>
      <c r="Q311" s="35"/>
      <c r="R311" s="58"/>
      <c r="S311" s="1"/>
      <c r="T311" s="1"/>
    </row>
    <row r="312" spans="1:20" s="33" customFormat="1" x14ac:dyDescent="0.2">
      <c r="A312" s="110"/>
      <c r="B312" s="111"/>
      <c r="C312" s="168"/>
      <c r="D312" s="169"/>
      <c r="E312" s="128"/>
      <c r="F312" s="129"/>
      <c r="G312" s="130"/>
      <c r="H312" s="138"/>
      <c r="I312" s="182"/>
      <c r="J312" s="182"/>
      <c r="K312" s="142"/>
      <c r="L312" s="173"/>
      <c r="M312" s="173"/>
      <c r="N312" s="173"/>
      <c r="O312" s="173"/>
      <c r="P312" s="173"/>
      <c r="Q312" s="35"/>
      <c r="R312" s="58"/>
      <c r="S312" s="1"/>
      <c r="T312" s="1"/>
    </row>
    <row r="313" spans="1:20" s="33" customFormat="1" x14ac:dyDescent="0.2">
      <c r="A313" s="110"/>
      <c r="B313" s="111"/>
      <c r="C313" s="168"/>
      <c r="D313" s="169"/>
      <c r="E313" s="128"/>
      <c r="F313" s="129"/>
      <c r="G313" s="130"/>
      <c r="H313" s="138"/>
      <c r="I313" s="182"/>
      <c r="J313" s="182"/>
      <c r="K313" s="142"/>
      <c r="L313" s="173"/>
      <c r="M313" s="173"/>
      <c r="N313" s="173"/>
      <c r="O313" s="173"/>
      <c r="P313" s="173"/>
      <c r="Q313" s="35"/>
      <c r="R313" s="58"/>
      <c r="S313" s="1"/>
      <c r="T313" s="1"/>
    </row>
    <row r="314" spans="1:20" s="33" customFormat="1" x14ac:dyDescent="0.2">
      <c r="A314" s="110"/>
      <c r="B314" s="111"/>
      <c r="C314" s="168"/>
      <c r="D314" s="169"/>
      <c r="E314" s="128"/>
      <c r="F314" s="129"/>
      <c r="G314" s="130"/>
      <c r="H314" s="138"/>
      <c r="I314" s="182"/>
      <c r="J314" s="182"/>
      <c r="K314" s="142"/>
      <c r="L314" s="173"/>
      <c r="M314" s="173"/>
      <c r="N314" s="173"/>
      <c r="O314" s="173"/>
      <c r="P314" s="173"/>
      <c r="Q314" s="35"/>
      <c r="R314" s="58"/>
      <c r="S314" s="1"/>
      <c r="T314" s="1"/>
    </row>
    <row r="315" spans="1:20" s="33" customFormat="1" x14ac:dyDescent="0.2">
      <c r="A315" s="110"/>
      <c r="B315" s="111"/>
      <c r="C315" s="168"/>
      <c r="D315" s="169"/>
      <c r="E315" s="128"/>
      <c r="F315" s="129"/>
      <c r="G315" s="130"/>
      <c r="H315" s="138"/>
      <c r="I315" s="182"/>
      <c r="J315" s="182"/>
      <c r="K315" s="142"/>
      <c r="L315" s="173"/>
      <c r="M315" s="173"/>
      <c r="N315" s="173"/>
      <c r="O315" s="173"/>
      <c r="P315" s="173"/>
      <c r="Q315" s="35"/>
      <c r="R315" s="58"/>
      <c r="S315" s="1"/>
      <c r="T315" s="1"/>
    </row>
    <row r="316" spans="1:20" s="33" customFormat="1" x14ac:dyDescent="0.2">
      <c r="A316" s="110"/>
      <c r="B316" s="111"/>
      <c r="C316" s="168"/>
      <c r="D316" s="169"/>
      <c r="E316" s="128"/>
      <c r="F316" s="129"/>
      <c r="G316" s="130"/>
      <c r="H316" s="138"/>
      <c r="I316" s="182"/>
      <c r="J316" s="182"/>
      <c r="K316" s="142"/>
      <c r="L316" s="173"/>
      <c r="M316" s="173"/>
      <c r="N316" s="173"/>
      <c r="O316" s="173"/>
      <c r="P316" s="173"/>
      <c r="Q316" s="35"/>
      <c r="R316" s="58"/>
      <c r="S316" s="1"/>
      <c r="T316" s="1"/>
    </row>
    <row r="317" spans="1:20" s="33" customFormat="1" x14ac:dyDescent="0.2">
      <c r="A317" s="110"/>
      <c r="B317" s="111"/>
      <c r="C317" s="168"/>
      <c r="D317" s="169"/>
      <c r="E317" s="128"/>
      <c r="F317" s="129"/>
      <c r="G317" s="130"/>
      <c r="H317" s="138"/>
      <c r="I317" s="182"/>
      <c r="J317" s="182"/>
      <c r="K317" s="142"/>
      <c r="L317" s="173"/>
      <c r="M317" s="173"/>
      <c r="N317" s="173"/>
      <c r="O317" s="173"/>
      <c r="P317" s="173"/>
      <c r="Q317" s="35"/>
      <c r="R317" s="58"/>
      <c r="S317" s="1"/>
      <c r="T317" s="1"/>
    </row>
    <row r="318" spans="1:20" s="33" customFormat="1" x14ac:dyDescent="0.2">
      <c r="A318" s="110"/>
      <c r="B318" s="111"/>
      <c r="C318" s="168"/>
      <c r="D318" s="169"/>
      <c r="E318" s="128"/>
      <c r="F318" s="129"/>
      <c r="G318" s="130"/>
      <c r="H318" s="138"/>
      <c r="I318" s="182"/>
      <c r="J318" s="182"/>
      <c r="K318" s="142"/>
      <c r="L318" s="173"/>
      <c r="M318" s="173"/>
      <c r="N318" s="173"/>
      <c r="O318" s="173"/>
      <c r="P318" s="173"/>
      <c r="Q318" s="35"/>
      <c r="R318" s="58"/>
      <c r="S318" s="1"/>
      <c r="T318" s="1"/>
    </row>
    <row r="319" spans="1:20" s="33" customFormat="1" x14ac:dyDescent="0.2">
      <c r="A319" s="110"/>
      <c r="B319" s="111"/>
      <c r="C319" s="168"/>
      <c r="D319" s="169"/>
      <c r="E319" s="128"/>
      <c r="F319" s="129"/>
      <c r="G319" s="130"/>
      <c r="H319" s="138"/>
      <c r="I319" s="182"/>
      <c r="J319" s="182"/>
      <c r="K319" s="142"/>
      <c r="L319" s="173"/>
      <c r="M319" s="173"/>
      <c r="N319" s="173"/>
      <c r="O319" s="173"/>
      <c r="P319" s="173"/>
      <c r="Q319" s="35"/>
      <c r="R319" s="58"/>
      <c r="S319" s="1"/>
      <c r="T319" s="1"/>
    </row>
    <row r="320" spans="1:20" s="33" customFormat="1" x14ac:dyDescent="0.2">
      <c r="A320" s="110"/>
      <c r="B320" s="111"/>
      <c r="C320" s="168"/>
      <c r="D320" s="169"/>
      <c r="E320" s="128"/>
      <c r="F320" s="129"/>
      <c r="G320" s="130"/>
      <c r="H320" s="138"/>
      <c r="I320" s="182"/>
      <c r="J320" s="182"/>
      <c r="K320" s="142"/>
      <c r="L320" s="173"/>
      <c r="M320" s="173"/>
      <c r="N320" s="173"/>
      <c r="O320" s="173"/>
      <c r="P320" s="173"/>
      <c r="Q320" s="35"/>
      <c r="R320" s="58"/>
      <c r="S320" s="1"/>
      <c r="T320" s="1"/>
    </row>
    <row r="321" spans="1:20" s="33" customFormat="1" x14ac:dyDescent="0.2">
      <c r="A321" s="110"/>
      <c r="B321" s="111"/>
      <c r="C321" s="168"/>
      <c r="D321" s="169"/>
      <c r="E321" s="128"/>
      <c r="F321" s="129"/>
      <c r="G321" s="130"/>
      <c r="H321" s="138"/>
      <c r="I321" s="182"/>
      <c r="J321" s="182"/>
      <c r="K321" s="142"/>
      <c r="L321" s="173"/>
      <c r="M321" s="173"/>
      <c r="N321" s="173"/>
      <c r="O321" s="173"/>
      <c r="P321" s="173"/>
      <c r="Q321" s="35"/>
      <c r="R321" s="58"/>
      <c r="S321" s="1"/>
      <c r="T321" s="1"/>
    </row>
    <row r="322" spans="1:20" s="33" customFormat="1" x14ac:dyDescent="0.2">
      <c r="A322" s="110"/>
      <c r="B322" s="111"/>
      <c r="C322" s="168"/>
      <c r="D322" s="169"/>
      <c r="E322" s="128"/>
      <c r="F322" s="129"/>
      <c r="G322" s="130"/>
      <c r="H322" s="138"/>
      <c r="I322" s="182"/>
      <c r="J322" s="182"/>
      <c r="K322" s="142"/>
      <c r="L322" s="173"/>
      <c r="M322" s="173"/>
      <c r="N322" s="173"/>
      <c r="O322" s="173"/>
      <c r="P322" s="173"/>
      <c r="Q322" s="35"/>
      <c r="R322" s="58"/>
      <c r="S322" s="1"/>
      <c r="T322" s="1"/>
    </row>
    <row r="323" spans="1:20" s="33" customFormat="1" x14ac:dyDescent="0.2">
      <c r="A323" s="110"/>
      <c r="B323" s="111"/>
      <c r="C323" s="168"/>
      <c r="D323" s="169"/>
      <c r="E323" s="128"/>
      <c r="F323" s="129"/>
      <c r="G323" s="130"/>
      <c r="H323" s="138"/>
      <c r="I323" s="182"/>
      <c r="J323" s="182"/>
      <c r="K323" s="142"/>
      <c r="L323" s="173"/>
      <c r="M323" s="173"/>
      <c r="N323" s="173"/>
      <c r="O323" s="173"/>
      <c r="P323" s="173"/>
      <c r="Q323" s="35"/>
      <c r="R323" s="58"/>
      <c r="S323" s="1"/>
      <c r="T323" s="1"/>
    </row>
    <row r="324" spans="1:20" s="33" customFormat="1" x14ac:dyDescent="0.2">
      <c r="A324" s="110"/>
      <c r="B324" s="111"/>
      <c r="C324" s="168"/>
      <c r="D324" s="169"/>
      <c r="E324" s="128"/>
      <c r="F324" s="129"/>
      <c r="G324" s="130"/>
      <c r="H324" s="138"/>
      <c r="I324" s="182"/>
      <c r="J324" s="182"/>
      <c r="K324" s="142"/>
      <c r="L324" s="173"/>
      <c r="M324" s="173"/>
      <c r="N324" s="173"/>
      <c r="O324" s="173"/>
      <c r="P324" s="173"/>
      <c r="Q324" s="35"/>
      <c r="R324" s="58"/>
      <c r="S324" s="1"/>
      <c r="T324" s="1"/>
    </row>
    <row r="325" spans="1:20" s="33" customFormat="1" x14ac:dyDescent="0.2">
      <c r="A325" s="110"/>
      <c r="B325" s="111"/>
      <c r="C325" s="168"/>
      <c r="D325" s="169"/>
      <c r="E325" s="128"/>
      <c r="F325" s="129"/>
      <c r="G325" s="130"/>
      <c r="H325" s="138"/>
      <c r="I325" s="182"/>
      <c r="J325" s="182"/>
      <c r="K325" s="142"/>
      <c r="L325" s="173"/>
      <c r="M325" s="173"/>
      <c r="N325" s="173"/>
      <c r="O325" s="173"/>
      <c r="P325" s="173"/>
      <c r="Q325" s="35"/>
      <c r="R325" s="58"/>
      <c r="S325" s="1"/>
      <c r="T325" s="1"/>
    </row>
    <row r="326" spans="1:20" s="33" customFormat="1" x14ac:dyDescent="0.2">
      <c r="A326" s="110"/>
      <c r="B326" s="111"/>
      <c r="C326" s="168"/>
      <c r="D326" s="169"/>
      <c r="E326" s="128"/>
      <c r="F326" s="129"/>
      <c r="G326" s="130"/>
      <c r="H326" s="138"/>
      <c r="I326" s="182"/>
      <c r="J326" s="182"/>
      <c r="K326" s="142"/>
      <c r="L326" s="173"/>
      <c r="M326" s="173"/>
      <c r="N326" s="173"/>
      <c r="O326" s="173"/>
      <c r="P326" s="173"/>
      <c r="Q326" s="35"/>
      <c r="R326" s="58"/>
      <c r="S326" s="1"/>
      <c r="T326" s="1"/>
    </row>
    <row r="327" spans="1:20" s="33" customFormat="1" x14ac:dyDescent="0.2">
      <c r="A327" s="110"/>
      <c r="B327" s="111"/>
      <c r="C327" s="168"/>
      <c r="D327" s="169"/>
      <c r="E327" s="128"/>
      <c r="F327" s="129"/>
      <c r="G327" s="130"/>
      <c r="H327" s="138"/>
      <c r="I327" s="182"/>
      <c r="J327" s="182"/>
      <c r="K327" s="142"/>
      <c r="L327" s="173"/>
      <c r="M327" s="173"/>
      <c r="N327" s="173"/>
      <c r="O327" s="173"/>
      <c r="P327" s="173"/>
      <c r="Q327" s="35"/>
      <c r="R327" s="58"/>
      <c r="S327" s="1"/>
      <c r="T327" s="1"/>
    </row>
    <row r="328" spans="1:20" s="33" customFormat="1" x14ac:dyDescent="0.2">
      <c r="A328" s="110"/>
      <c r="B328" s="111"/>
      <c r="C328" s="168"/>
      <c r="D328" s="169"/>
      <c r="E328" s="128"/>
      <c r="F328" s="129"/>
      <c r="G328" s="130"/>
      <c r="H328" s="138"/>
      <c r="I328" s="182"/>
      <c r="J328" s="182"/>
      <c r="K328" s="142"/>
      <c r="L328" s="173"/>
      <c r="M328" s="173"/>
      <c r="N328" s="173"/>
      <c r="O328" s="173"/>
      <c r="P328" s="173"/>
      <c r="Q328" s="35"/>
      <c r="R328" s="58"/>
      <c r="S328" s="1"/>
      <c r="T328" s="1"/>
    </row>
    <row r="329" spans="1:20" s="33" customFormat="1" x14ac:dyDescent="0.2">
      <c r="A329" s="110"/>
      <c r="B329" s="111"/>
      <c r="C329" s="168"/>
      <c r="D329" s="169"/>
      <c r="E329" s="128"/>
      <c r="F329" s="129"/>
      <c r="G329" s="130"/>
      <c r="H329" s="138"/>
      <c r="I329" s="182"/>
      <c r="J329" s="182"/>
      <c r="K329" s="142"/>
      <c r="L329" s="173"/>
      <c r="M329" s="173"/>
      <c r="N329" s="173"/>
      <c r="O329" s="173"/>
      <c r="P329" s="173"/>
      <c r="Q329" s="35"/>
      <c r="R329" s="58"/>
      <c r="S329" s="1"/>
      <c r="T329" s="1"/>
    </row>
    <row r="330" spans="1:20" s="33" customFormat="1" x14ac:dyDescent="0.2">
      <c r="A330" s="110"/>
      <c r="B330" s="111"/>
      <c r="C330" s="168"/>
      <c r="D330" s="169"/>
      <c r="E330" s="128"/>
      <c r="F330" s="129"/>
      <c r="G330" s="130"/>
      <c r="H330" s="138"/>
      <c r="I330" s="182"/>
      <c r="J330" s="182"/>
      <c r="K330" s="142"/>
      <c r="L330" s="173"/>
      <c r="M330" s="173"/>
      <c r="N330" s="173"/>
      <c r="O330" s="173"/>
      <c r="P330" s="173"/>
      <c r="Q330" s="35"/>
      <c r="R330" s="58"/>
      <c r="S330" s="1"/>
      <c r="T330" s="1"/>
    </row>
    <row r="331" spans="1:20" s="33" customFormat="1" x14ac:dyDescent="0.2">
      <c r="A331" s="110"/>
      <c r="B331" s="111"/>
      <c r="C331" s="168"/>
      <c r="D331" s="169"/>
      <c r="E331" s="128"/>
      <c r="F331" s="129"/>
      <c r="G331" s="130"/>
      <c r="H331" s="138"/>
      <c r="I331" s="182"/>
      <c r="J331" s="182"/>
      <c r="K331" s="142"/>
      <c r="L331" s="173"/>
      <c r="M331" s="173"/>
      <c r="N331" s="173"/>
      <c r="O331" s="173"/>
      <c r="P331" s="173"/>
      <c r="Q331" s="35"/>
      <c r="R331" s="58"/>
      <c r="S331" s="1"/>
      <c r="T331" s="1"/>
    </row>
    <row r="332" spans="1:20" s="33" customFormat="1" x14ac:dyDescent="0.2">
      <c r="A332" s="110"/>
      <c r="B332" s="111"/>
      <c r="C332" s="168"/>
      <c r="D332" s="169"/>
      <c r="E332" s="128"/>
      <c r="F332" s="129"/>
      <c r="G332" s="130"/>
      <c r="H332" s="138"/>
      <c r="I332" s="182"/>
      <c r="J332" s="182"/>
      <c r="K332" s="142"/>
      <c r="L332" s="173"/>
      <c r="M332" s="173"/>
      <c r="N332" s="173"/>
      <c r="O332" s="173"/>
      <c r="P332" s="173"/>
      <c r="Q332" s="35"/>
      <c r="R332" s="58"/>
      <c r="S332" s="1"/>
      <c r="T332" s="1"/>
    </row>
    <row r="333" spans="1:20" s="33" customFormat="1" x14ac:dyDescent="0.2">
      <c r="A333" s="110"/>
      <c r="B333" s="111"/>
      <c r="C333" s="168"/>
      <c r="D333" s="169"/>
      <c r="E333" s="128"/>
      <c r="F333" s="129"/>
      <c r="G333" s="130"/>
      <c r="H333" s="138"/>
      <c r="I333" s="182"/>
      <c r="J333" s="182"/>
      <c r="K333" s="142"/>
      <c r="L333" s="173"/>
      <c r="M333" s="173"/>
      <c r="N333" s="173"/>
      <c r="O333" s="173"/>
      <c r="P333" s="173"/>
      <c r="Q333" s="35"/>
      <c r="R333" s="58"/>
      <c r="S333" s="1"/>
      <c r="T333" s="1"/>
    </row>
    <row r="334" spans="1:20" s="33" customFormat="1" x14ac:dyDescent="0.2">
      <c r="A334" s="110"/>
      <c r="B334" s="111"/>
      <c r="C334" s="168"/>
      <c r="D334" s="169"/>
      <c r="E334" s="128"/>
      <c r="F334" s="129"/>
      <c r="G334" s="130"/>
      <c r="H334" s="138"/>
      <c r="I334" s="182"/>
      <c r="J334" s="182"/>
      <c r="K334" s="142"/>
      <c r="L334" s="173"/>
      <c r="M334" s="173"/>
      <c r="N334" s="173"/>
      <c r="O334" s="173"/>
      <c r="P334" s="173"/>
      <c r="Q334" s="35"/>
      <c r="R334" s="58"/>
      <c r="S334" s="1"/>
      <c r="T334" s="1"/>
    </row>
    <row r="335" spans="1:20" s="33" customFormat="1" x14ac:dyDescent="0.2">
      <c r="A335" s="110"/>
      <c r="B335" s="111"/>
      <c r="C335" s="168"/>
      <c r="D335" s="169"/>
      <c r="E335" s="128"/>
      <c r="F335" s="129"/>
      <c r="G335" s="130"/>
      <c r="H335" s="138"/>
      <c r="I335" s="182"/>
      <c r="J335" s="182"/>
      <c r="K335" s="142"/>
      <c r="L335" s="173"/>
      <c r="M335" s="173"/>
      <c r="N335" s="173"/>
      <c r="O335" s="173"/>
      <c r="P335" s="173"/>
      <c r="Q335" s="35"/>
      <c r="R335" s="58"/>
      <c r="S335" s="1"/>
      <c r="T335" s="1"/>
    </row>
    <row r="336" spans="1:20" s="33" customFormat="1" x14ac:dyDescent="0.2">
      <c r="A336" s="110"/>
      <c r="B336" s="111"/>
      <c r="C336" s="168"/>
      <c r="D336" s="169"/>
      <c r="E336" s="128"/>
      <c r="F336" s="129"/>
      <c r="G336" s="130"/>
      <c r="H336" s="138"/>
      <c r="I336" s="182"/>
      <c r="J336" s="182"/>
      <c r="K336" s="142"/>
      <c r="L336" s="173"/>
      <c r="M336" s="173"/>
      <c r="N336" s="173"/>
      <c r="O336" s="173"/>
      <c r="P336" s="173"/>
      <c r="Q336" s="35"/>
      <c r="R336" s="58"/>
      <c r="S336" s="1"/>
      <c r="T336" s="1"/>
    </row>
    <row r="337" spans="1:20" s="33" customFormat="1" x14ac:dyDescent="0.2">
      <c r="A337" s="110"/>
      <c r="B337" s="111"/>
      <c r="C337" s="168"/>
      <c r="D337" s="169"/>
      <c r="E337" s="128"/>
      <c r="F337" s="129"/>
      <c r="G337" s="130"/>
      <c r="H337" s="138"/>
      <c r="I337" s="182"/>
      <c r="J337" s="182"/>
      <c r="K337" s="142"/>
      <c r="L337" s="173"/>
      <c r="M337" s="173"/>
      <c r="N337" s="173"/>
      <c r="O337" s="173"/>
      <c r="P337" s="173"/>
      <c r="Q337" s="35"/>
      <c r="R337" s="58"/>
      <c r="S337" s="1"/>
      <c r="T337" s="1"/>
    </row>
    <row r="338" spans="1:20" s="33" customFormat="1" x14ac:dyDescent="0.2">
      <c r="A338" s="110"/>
      <c r="B338" s="111"/>
      <c r="C338" s="168"/>
      <c r="D338" s="169"/>
      <c r="E338" s="128"/>
      <c r="F338" s="129"/>
      <c r="G338" s="130"/>
      <c r="H338" s="138"/>
      <c r="I338" s="182"/>
      <c r="J338" s="182"/>
      <c r="K338" s="142"/>
      <c r="L338" s="173"/>
      <c r="M338" s="173"/>
      <c r="N338" s="173"/>
      <c r="O338" s="173"/>
      <c r="P338" s="173"/>
      <c r="Q338" s="35"/>
      <c r="R338" s="58"/>
      <c r="S338" s="1"/>
      <c r="T338" s="1"/>
    </row>
    <row r="339" spans="1:20" s="33" customFormat="1" x14ac:dyDescent="0.2">
      <c r="A339" s="110"/>
      <c r="B339" s="111"/>
      <c r="C339" s="168"/>
      <c r="D339" s="169"/>
      <c r="E339" s="128"/>
      <c r="F339" s="129"/>
      <c r="G339" s="130"/>
      <c r="H339" s="138"/>
      <c r="I339" s="182"/>
      <c r="J339" s="182"/>
      <c r="K339" s="142"/>
      <c r="L339" s="173"/>
      <c r="M339" s="173"/>
      <c r="N339" s="173"/>
      <c r="O339" s="173"/>
      <c r="P339" s="173"/>
      <c r="Q339" s="35"/>
      <c r="R339" s="58"/>
      <c r="S339" s="1"/>
      <c r="T339" s="1"/>
    </row>
    <row r="340" spans="1:20" s="33" customFormat="1" x14ac:dyDescent="0.2">
      <c r="A340" s="110"/>
      <c r="B340" s="111"/>
      <c r="C340" s="168"/>
      <c r="D340" s="169"/>
      <c r="E340" s="128"/>
      <c r="F340" s="129"/>
      <c r="G340" s="130"/>
      <c r="H340" s="138"/>
      <c r="I340" s="182"/>
      <c r="J340" s="182"/>
      <c r="K340" s="142"/>
      <c r="L340" s="173"/>
      <c r="M340" s="173"/>
      <c r="N340" s="173"/>
      <c r="O340" s="173"/>
      <c r="P340" s="173"/>
      <c r="Q340" s="35"/>
      <c r="R340" s="58"/>
      <c r="S340" s="1"/>
      <c r="T340" s="1"/>
    </row>
    <row r="341" spans="1:20" s="33" customFormat="1" x14ac:dyDescent="0.2">
      <c r="A341" s="110"/>
      <c r="B341" s="111"/>
      <c r="C341" s="168"/>
      <c r="D341" s="169"/>
      <c r="E341" s="128"/>
      <c r="F341" s="129"/>
      <c r="G341" s="130"/>
      <c r="H341" s="138"/>
      <c r="I341" s="182"/>
      <c r="J341" s="182"/>
      <c r="K341" s="142"/>
      <c r="L341" s="173"/>
      <c r="M341" s="173"/>
      <c r="N341" s="173"/>
      <c r="O341" s="173"/>
      <c r="P341" s="173"/>
      <c r="Q341" s="35"/>
      <c r="R341" s="58"/>
      <c r="S341" s="1"/>
      <c r="T341" s="1"/>
    </row>
    <row r="342" spans="1:20" s="33" customFormat="1" x14ac:dyDescent="0.2">
      <c r="A342" s="110"/>
      <c r="B342" s="111"/>
      <c r="C342" s="168"/>
      <c r="D342" s="169"/>
      <c r="E342" s="128"/>
      <c r="F342" s="129"/>
      <c r="G342" s="130"/>
      <c r="H342" s="138"/>
      <c r="I342" s="182"/>
      <c r="J342" s="182"/>
      <c r="K342" s="142"/>
      <c r="L342" s="173"/>
      <c r="M342" s="173"/>
      <c r="N342" s="173"/>
      <c r="O342" s="173"/>
      <c r="P342" s="173"/>
      <c r="Q342" s="35"/>
      <c r="R342" s="58"/>
      <c r="S342" s="1"/>
      <c r="T342" s="1"/>
    </row>
    <row r="343" spans="1:20" s="33" customFormat="1" x14ac:dyDescent="0.2">
      <c r="A343" s="110"/>
      <c r="B343" s="111"/>
      <c r="C343" s="168"/>
      <c r="D343" s="169"/>
      <c r="E343" s="128"/>
      <c r="F343" s="129"/>
      <c r="G343" s="130"/>
      <c r="H343" s="138"/>
      <c r="I343" s="182"/>
      <c r="J343" s="182"/>
      <c r="K343" s="142"/>
      <c r="L343" s="173"/>
      <c r="M343" s="173"/>
      <c r="N343" s="173"/>
      <c r="O343" s="173"/>
      <c r="P343" s="173"/>
      <c r="Q343" s="35"/>
      <c r="R343" s="58"/>
      <c r="S343" s="1"/>
      <c r="T343" s="1"/>
    </row>
    <row r="344" spans="1:20" s="33" customFormat="1" x14ac:dyDescent="0.2">
      <c r="A344" s="110"/>
      <c r="B344" s="111"/>
      <c r="C344" s="168"/>
      <c r="D344" s="169"/>
      <c r="E344" s="128"/>
      <c r="F344" s="129"/>
      <c r="G344" s="130"/>
      <c r="H344" s="138"/>
      <c r="I344" s="182"/>
      <c r="J344" s="182"/>
      <c r="K344" s="142"/>
      <c r="L344" s="173"/>
      <c r="M344" s="173"/>
      <c r="N344" s="173"/>
      <c r="O344" s="173"/>
      <c r="P344" s="173"/>
      <c r="Q344" s="35"/>
      <c r="R344" s="58"/>
      <c r="S344" s="1"/>
      <c r="T344" s="1"/>
    </row>
    <row r="345" spans="1:20" s="33" customFormat="1" x14ac:dyDescent="0.2">
      <c r="A345" s="110"/>
      <c r="B345" s="111"/>
      <c r="C345" s="168"/>
      <c r="D345" s="169"/>
      <c r="E345" s="128"/>
      <c r="F345" s="129"/>
      <c r="G345" s="130"/>
      <c r="H345" s="138"/>
      <c r="I345" s="182"/>
      <c r="J345" s="182"/>
      <c r="K345" s="142"/>
      <c r="L345" s="173"/>
      <c r="M345" s="173"/>
      <c r="N345" s="173"/>
      <c r="O345" s="173"/>
      <c r="P345" s="173"/>
      <c r="Q345" s="35"/>
      <c r="R345" s="58"/>
      <c r="S345" s="1"/>
      <c r="T345" s="1"/>
    </row>
    <row r="346" spans="1:20" s="33" customFormat="1" x14ac:dyDescent="0.2">
      <c r="A346" s="110"/>
      <c r="B346" s="111"/>
      <c r="C346" s="168"/>
      <c r="D346" s="169"/>
      <c r="E346" s="128"/>
      <c r="F346" s="129"/>
      <c r="G346" s="130"/>
      <c r="H346" s="138"/>
      <c r="I346" s="182"/>
      <c r="J346" s="182"/>
      <c r="K346" s="142"/>
      <c r="L346" s="173"/>
      <c r="M346" s="173"/>
      <c r="N346" s="173"/>
      <c r="O346" s="173"/>
      <c r="P346" s="173"/>
      <c r="Q346" s="35"/>
      <c r="R346" s="58"/>
      <c r="S346" s="1"/>
      <c r="T346" s="1"/>
    </row>
    <row r="347" spans="1:20" s="33" customFormat="1" x14ac:dyDescent="0.2">
      <c r="A347" s="110"/>
      <c r="B347" s="111"/>
      <c r="C347" s="168"/>
      <c r="D347" s="169"/>
      <c r="E347" s="128"/>
      <c r="F347" s="129"/>
      <c r="G347" s="130"/>
      <c r="H347" s="138"/>
      <c r="I347" s="182"/>
      <c r="J347" s="182"/>
      <c r="K347" s="142"/>
      <c r="L347" s="173"/>
      <c r="M347" s="173"/>
      <c r="N347" s="173"/>
      <c r="O347" s="173"/>
      <c r="P347" s="173"/>
      <c r="Q347" s="35"/>
      <c r="R347" s="58"/>
      <c r="S347" s="1"/>
      <c r="T347" s="1"/>
    </row>
    <row r="348" spans="1:20" s="33" customFormat="1" x14ac:dyDescent="0.2">
      <c r="A348" s="110"/>
      <c r="B348" s="111"/>
      <c r="C348" s="168"/>
      <c r="D348" s="169"/>
      <c r="E348" s="128"/>
      <c r="F348" s="129"/>
      <c r="G348" s="130"/>
      <c r="H348" s="138"/>
      <c r="I348" s="182"/>
      <c r="J348" s="182"/>
      <c r="K348" s="142"/>
      <c r="L348" s="173"/>
      <c r="M348" s="173"/>
      <c r="N348" s="173"/>
      <c r="O348" s="173"/>
      <c r="P348" s="173"/>
      <c r="Q348" s="35"/>
      <c r="R348" s="58"/>
      <c r="S348" s="1"/>
      <c r="T348" s="1"/>
    </row>
    <row r="349" spans="1:20" s="33" customFormat="1" x14ac:dyDescent="0.2">
      <c r="A349" s="110"/>
      <c r="B349" s="111"/>
      <c r="C349" s="168"/>
      <c r="D349" s="169"/>
      <c r="E349" s="128"/>
      <c r="F349" s="129"/>
      <c r="G349" s="130"/>
      <c r="H349" s="138"/>
      <c r="I349" s="182"/>
      <c r="J349" s="182"/>
      <c r="K349" s="142"/>
      <c r="L349" s="173"/>
      <c r="M349" s="173"/>
      <c r="N349" s="173"/>
      <c r="O349" s="173"/>
      <c r="P349" s="173"/>
      <c r="Q349" s="35"/>
      <c r="R349" s="58"/>
      <c r="S349" s="1"/>
      <c r="T349" s="1"/>
    </row>
    <row r="350" spans="1:20" s="33" customFormat="1" x14ac:dyDescent="0.2">
      <c r="A350" s="110"/>
      <c r="B350" s="111"/>
      <c r="C350" s="168"/>
      <c r="D350" s="169"/>
      <c r="E350" s="128"/>
      <c r="F350" s="129"/>
      <c r="G350" s="130"/>
      <c r="H350" s="138"/>
      <c r="I350" s="182"/>
      <c r="J350" s="182"/>
      <c r="K350" s="142"/>
      <c r="L350" s="173"/>
      <c r="M350" s="173"/>
      <c r="N350" s="173"/>
      <c r="O350" s="173"/>
      <c r="P350" s="173"/>
      <c r="Q350" s="35"/>
      <c r="R350" s="58"/>
      <c r="S350" s="1"/>
      <c r="T350" s="1"/>
    </row>
    <row r="351" spans="1:20" s="33" customFormat="1" x14ac:dyDescent="0.2">
      <c r="A351" s="110"/>
      <c r="B351" s="111"/>
      <c r="C351" s="168"/>
      <c r="D351" s="169"/>
      <c r="E351" s="128"/>
      <c r="F351" s="129"/>
      <c r="G351" s="130"/>
      <c r="H351" s="138"/>
      <c r="I351" s="182"/>
      <c r="J351" s="182"/>
      <c r="K351" s="142"/>
      <c r="L351" s="173"/>
      <c r="M351" s="173"/>
      <c r="N351" s="173"/>
      <c r="O351" s="173"/>
      <c r="P351" s="173"/>
      <c r="Q351" s="35"/>
      <c r="R351" s="58"/>
      <c r="S351" s="1"/>
      <c r="T351" s="1"/>
    </row>
    <row r="352" spans="1:20" s="33" customFormat="1" x14ac:dyDescent="0.2">
      <c r="A352" s="110"/>
      <c r="B352" s="111"/>
      <c r="C352" s="168"/>
      <c r="D352" s="169"/>
      <c r="E352" s="128"/>
      <c r="F352" s="129"/>
      <c r="G352" s="130"/>
      <c r="H352" s="138"/>
      <c r="I352" s="182"/>
      <c r="J352" s="182"/>
      <c r="K352" s="142"/>
      <c r="L352" s="173"/>
      <c r="M352" s="173"/>
      <c r="N352" s="173"/>
      <c r="O352" s="173"/>
      <c r="P352" s="173"/>
      <c r="Q352" s="35"/>
      <c r="R352" s="58"/>
      <c r="S352" s="1"/>
      <c r="T352" s="1"/>
    </row>
    <row r="353" spans="1:20" s="33" customFormat="1" x14ac:dyDescent="0.2">
      <c r="A353" s="110"/>
      <c r="B353" s="111"/>
      <c r="C353" s="168"/>
      <c r="D353" s="169"/>
      <c r="E353" s="128"/>
      <c r="F353" s="129"/>
      <c r="G353" s="130"/>
      <c r="H353" s="138"/>
      <c r="I353" s="182"/>
      <c r="J353" s="182"/>
      <c r="K353" s="142"/>
      <c r="L353" s="173"/>
      <c r="M353" s="173"/>
      <c r="N353" s="173"/>
      <c r="O353" s="173"/>
      <c r="P353" s="173"/>
      <c r="Q353" s="35"/>
      <c r="R353" s="58"/>
      <c r="S353" s="1"/>
      <c r="T353" s="1"/>
    </row>
    <row r="354" spans="1:20" s="33" customFormat="1" x14ac:dyDescent="0.2">
      <c r="A354" s="110"/>
      <c r="B354" s="111"/>
      <c r="C354" s="168"/>
      <c r="D354" s="169"/>
      <c r="E354" s="128"/>
      <c r="F354" s="129"/>
      <c r="G354" s="130"/>
      <c r="H354" s="138"/>
      <c r="I354" s="182"/>
      <c r="J354" s="182"/>
      <c r="K354" s="142"/>
      <c r="L354" s="173"/>
      <c r="M354" s="173"/>
      <c r="N354" s="173"/>
      <c r="O354" s="173"/>
      <c r="P354" s="173"/>
      <c r="Q354" s="35"/>
      <c r="R354" s="58"/>
      <c r="S354" s="1"/>
      <c r="T354" s="1"/>
    </row>
    <row r="355" spans="1:20" s="33" customFormat="1" x14ac:dyDescent="0.2">
      <c r="A355" s="110"/>
      <c r="B355" s="111"/>
      <c r="C355" s="168"/>
      <c r="D355" s="169"/>
      <c r="E355" s="128"/>
      <c r="F355" s="129"/>
      <c r="G355" s="130"/>
      <c r="H355" s="138"/>
      <c r="I355" s="182"/>
      <c r="J355" s="182"/>
      <c r="K355" s="142"/>
      <c r="L355" s="173"/>
      <c r="M355" s="173"/>
      <c r="N355" s="173"/>
      <c r="O355" s="173"/>
      <c r="P355" s="173"/>
      <c r="Q355" s="35"/>
      <c r="R355" s="58"/>
      <c r="S355" s="1"/>
      <c r="T355" s="1"/>
    </row>
    <row r="356" spans="1:20" s="33" customFormat="1" x14ac:dyDescent="0.2">
      <c r="A356" s="110"/>
      <c r="B356" s="111"/>
      <c r="C356" s="168"/>
      <c r="D356" s="169"/>
      <c r="E356" s="128"/>
      <c r="F356" s="129"/>
      <c r="G356" s="130"/>
      <c r="H356" s="138"/>
      <c r="I356" s="182"/>
      <c r="J356" s="182"/>
      <c r="K356" s="142"/>
      <c r="L356" s="173"/>
      <c r="M356" s="173"/>
      <c r="N356" s="173"/>
      <c r="O356" s="173"/>
      <c r="P356" s="173"/>
      <c r="Q356" s="35"/>
      <c r="R356" s="58"/>
      <c r="S356" s="1"/>
      <c r="T356" s="1"/>
    </row>
    <row r="357" spans="1:20" s="33" customFormat="1" x14ac:dyDescent="0.2">
      <c r="A357" s="110"/>
      <c r="B357" s="111"/>
      <c r="C357" s="168"/>
      <c r="D357" s="169"/>
      <c r="E357" s="128"/>
      <c r="F357" s="129"/>
      <c r="G357" s="130"/>
      <c r="H357" s="138"/>
      <c r="I357" s="182"/>
      <c r="J357" s="182"/>
      <c r="K357" s="142"/>
      <c r="L357" s="173"/>
      <c r="M357" s="173"/>
      <c r="N357" s="173"/>
      <c r="O357" s="173"/>
      <c r="P357" s="173"/>
      <c r="Q357" s="35"/>
      <c r="R357" s="58"/>
      <c r="S357" s="1"/>
      <c r="T357" s="1"/>
    </row>
    <row r="358" spans="1:20" s="33" customFormat="1" x14ac:dyDescent="0.2">
      <c r="A358" s="110"/>
      <c r="B358" s="111"/>
      <c r="C358" s="168"/>
      <c r="D358" s="169"/>
      <c r="E358" s="128"/>
      <c r="F358" s="129"/>
      <c r="G358" s="130"/>
      <c r="H358" s="138"/>
      <c r="I358" s="182"/>
      <c r="J358" s="182"/>
      <c r="K358" s="142"/>
      <c r="L358" s="173"/>
      <c r="M358" s="173"/>
      <c r="N358" s="173"/>
      <c r="O358" s="173"/>
      <c r="P358" s="173"/>
      <c r="Q358" s="35"/>
      <c r="R358" s="58"/>
      <c r="S358" s="1"/>
      <c r="T358" s="1"/>
    </row>
    <row r="359" spans="1:20" s="33" customFormat="1" x14ac:dyDescent="0.2">
      <c r="A359" s="110"/>
      <c r="B359" s="111"/>
      <c r="C359" s="168"/>
      <c r="D359" s="169"/>
      <c r="E359" s="128"/>
      <c r="F359" s="129"/>
      <c r="G359" s="130"/>
      <c r="H359" s="138"/>
      <c r="I359" s="182"/>
      <c r="J359" s="182"/>
      <c r="K359" s="142"/>
      <c r="L359" s="173"/>
      <c r="M359" s="173"/>
      <c r="N359" s="173"/>
      <c r="O359" s="173"/>
      <c r="P359" s="173"/>
      <c r="Q359" s="35"/>
      <c r="R359" s="58"/>
      <c r="S359" s="1"/>
      <c r="T359" s="1"/>
    </row>
    <row r="360" spans="1:20" s="33" customFormat="1" x14ac:dyDescent="0.2">
      <c r="A360" s="110"/>
      <c r="B360" s="111"/>
      <c r="C360" s="168"/>
      <c r="D360" s="169"/>
      <c r="E360" s="128"/>
      <c r="F360" s="129"/>
      <c r="G360" s="130"/>
      <c r="H360" s="138"/>
      <c r="I360" s="182"/>
      <c r="J360" s="182"/>
      <c r="K360" s="142"/>
      <c r="L360" s="173"/>
      <c r="M360" s="173"/>
      <c r="N360" s="173"/>
      <c r="O360" s="173"/>
      <c r="P360" s="173"/>
      <c r="Q360" s="35"/>
      <c r="R360" s="58"/>
      <c r="S360" s="1"/>
      <c r="T360" s="1"/>
    </row>
    <row r="361" spans="1:20" s="33" customFormat="1" x14ac:dyDescent="0.2">
      <c r="A361" s="110"/>
      <c r="B361" s="111"/>
      <c r="C361" s="168"/>
      <c r="D361" s="169"/>
      <c r="E361" s="128"/>
      <c r="F361" s="129"/>
      <c r="G361" s="130"/>
      <c r="H361" s="138"/>
      <c r="I361" s="182"/>
      <c r="J361" s="182"/>
      <c r="K361" s="142"/>
      <c r="L361" s="173"/>
      <c r="M361" s="173"/>
      <c r="N361" s="173"/>
      <c r="O361" s="173"/>
      <c r="P361" s="173"/>
      <c r="Q361" s="35"/>
      <c r="R361" s="58"/>
      <c r="S361" s="1"/>
      <c r="T361" s="1"/>
    </row>
    <row r="362" spans="1:20" s="33" customFormat="1" x14ac:dyDescent="0.2">
      <c r="A362" s="110"/>
      <c r="B362" s="111"/>
      <c r="C362" s="168"/>
      <c r="D362" s="169"/>
      <c r="E362" s="128"/>
      <c r="F362" s="129"/>
      <c r="G362" s="130"/>
      <c r="H362" s="138"/>
      <c r="I362" s="182"/>
      <c r="J362" s="182"/>
      <c r="K362" s="142"/>
      <c r="L362" s="173"/>
      <c r="M362" s="173"/>
      <c r="N362" s="173"/>
      <c r="O362" s="173"/>
      <c r="P362" s="173"/>
      <c r="Q362" s="35"/>
      <c r="R362" s="58"/>
      <c r="S362" s="1"/>
      <c r="T362" s="1"/>
    </row>
    <row r="363" spans="1:20" s="33" customFormat="1" x14ac:dyDescent="0.2">
      <c r="A363" s="110"/>
      <c r="B363" s="111"/>
      <c r="C363" s="168"/>
      <c r="D363" s="169"/>
      <c r="E363" s="128"/>
      <c r="F363" s="129"/>
      <c r="G363" s="130"/>
      <c r="H363" s="138"/>
      <c r="I363" s="182"/>
      <c r="J363" s="182"/>
      <c r="K363" s="142"/>
      <c r="L363" s="173"/>
      <c r="M363" s="173"/>
      <c r="N363" s="173"/>
      <c r="O363" s="173"/>
      <c r="P363" s="173"/>
      <c r="Q363" s="35"/>
      <c r="R363" s="58"/>
      <c r="S363" s="1"/>
      <c r="T363" s="1"/>
    </row>
    <row r="364" spans="1:20" s="33" customFormat="1" x14ac:dyDescent="0.2">
      <c r="A364" s="110"/>
      <c r="B364" s="111"/>
      <c r="C364" s="168"/>
      <c r="D364" s="169"/>
      <c r="E364" s="128"/>
      <c r="F364" s="129"/>
      <c r="G364" s="130"/>
      <c r="H364" s="138"/>
      <c r="I364" s="182"/>
      <c r="J364" s="182"/>
      <c r="K364" s="142"/>
      <c r="L364" s="173"/>
      <c r="M364" s="173"/>
      <c r="N364" s="173"/>
      <c r="O364" s="173"/>
      <c r="P364" s="173"/>
      <c r="Q364" s="35"/>
      <c r="R364" s="58"/>
      <c r="S364" s="1"/>
      <c r="T364" s="1"/>
    </row>
    <row r="365" spans="1:20" s="33" customFormat="1" x14ac:dyDescent="0.2">
      <c r="A365" s="110"/>
      <c r="B365" s="111"/>
      <c r="C365" s="168"/>
      <c r="D365" s="169"/>
      <c r="E365" s="128"/>
      <c r="F365" s="129"/>
      <c r="G365" s="130"/>
      <c r="H365" s="138"/>
      <c r="I365" s="182"/>
      <c r="J365" s="182"/>
      <c r="K365" s="142"/>
      <c r="L365" s="173"/>
      <c r="M365" s="173"/>
      <c r="N365" s="173"/>
      <c r="O365" s="173"/>
      <c r="P365" s="173"/>
      <c r="Q365" s="35"/>
      <c r="R365" s="58"/>
      <c r="S365" s="1"/>
      <c r="T365" s="1"/>
    </row>
    <row r="366" spans="1:20" s="33" customFormat="1" x14ac:dyDescent="0.2">
      <c r="A366" s="110"/>
      <c r="B366" s="111"/>
      <c r="C366" s="168"/>
      <c r="D366" s="169"/>
      <c r="E366" s="128"/>
      <c r="F366" s="129"/>
      <c r="G366" s="130"/>
      <c r="H366" s="138"/>
      <c r="I366" s="182"/>
      <c r="J366" s="182"/>
      <c r="K366" s="142"/>
      <c r="L366" s="173"/>
      <c r="M366" s="173"/>
      <c r="N366" s="173"/>
      <c r="O366" s="173"/>
      <c r="P366" s="173"/>
      <c r="Q366" s="35"/>
      <c r="R366" s="58"/>
      <c r="S366" s="1"/>
      <c r="T366" s="1"/>
    </row>
    <row r="367" spans="1:20" s="33" customFormat="1" x14ac:dyDescent="0.2">
      <c r="A367" s="110"/>
      <c r="B367" s="111"/>
      <c r="C367" s="168"/>
      <c r="D367" s="169"/>
      <c r="E367" s="128"/>
      <c r="F367" s="129"/>
      <c r="G367" s="130"/>
      <c r="H367" s="138"/>
      <c r="I367" s="182"/>
      <c r="J367" s="182"/>
      <c r="K367" s="142"/>
      <c r="L367" s="173"/>
      <c r="M367" s="173"/>
      <c r="N367" s="173"/>
      <c r="O367" s="173"/>
      <c r="P367" s="173"/>
      <c r="Q367" s="35"/>
      <c r="R367" s="58"/>
      <c r="S367" s="1"/>
      <c r="T367" s="1"/>
    </row>
    <row r="368" spans="1:20" s="33" customFormat="1" x14ac:dyDescent="0.2">
      <c r="A368" s="110"/>
      <c r="B368" s="111"/>
      <c r="C368" s="168"/>
      <c r="D368" s="169"/>
      <c r="E368" s="128"/>
      <c r="F368" s="129"/>
      <c r="G368" s="130"/>
      <c r="H368" s="138"/>
      <c r="I368" s="182"/>
      <c r="J368" s="182"/>
      <c r="K368" s="142"/>
      <c r="L368" s="173"/>
      <c r="M368" s="173"/>
      <c r="N368" s="173"/>
      <c r="O368" s="173"/>
      <c r="P368" s="173"/>
      <c r="Q368" s="35"/>
      <c r="R368" s="58"/>
      <c r="S368" s="1"/>
      <c r="T368" s="1"/>
    </row>
    <row r="369" spans="1:20" s="33" customFormat="1" x14ac:dyDescent="0.2">
      <c r="A369" s="110"/>
      <c r="B369" s="111"/>
      <c r="C369" s="168"/>
      <c r="D369" s="169"/>
      <c r="E369" s="128"/>
      <c r="F369" s="129"/>
      <c r="G369" s="130"/>
      <c r="H369" s="138"/>
      <c r="I369" s="182"/>
      <c r="J369" s="182"/>
      <c r="K369" s="142"/>
      <c r="L369" s="173"/>
      <c r="M369" s="173"/>
      <c r="N369" s="173"/>
      <c r="O369" s="173"/>
      <c r="P369" s="173"/>
      <c r="Q369" s="35"/>
      <c r="R369" s="58"/>
      <c r="S369" s="1"/>
      <c r="T369" s="1"/>
    </row>
    <row r="370" spans="1:20" s="33" customFormat="1" x14ac:dyDescent="0.2">
      <c r="A370" s="110"/>
      <c r="B370" s="111"/>
      <c r="C370" s="168"/>
      <c r="D370" s="169"/>
      <c r="E370" s="128"/>
      <c r="F370" s="129"/>
      <c r="G370" s="130"/>
      <c r="H370" s="138"/>
      <c r="I370" s="182"/>
      <c r="J370" s="182"/>
      <c r="K370" s="142"/>
      <c r="L370" s="173"/>
      <c r="M370" s="173"/>
      <c r="N370" s="173"/>
      <c r="O370" s="173"/>
      <c r="P370" s="173"/>
      <c r="Q370" s="35"/>
      <c r="R370" s="58"/>
      <c r="S370" s="1"/>
      <c r="T370" s="1"/>
    </row>
    <row r="371" spans="1:20" s="33" customFormat="1" x14ac:dyDescent="0.2">
      <c r="A371" s="110"/>
      <c r="B371" s="111"/>
      <c r="C371" s="168"/>
      <c r="D371" s="169"/>
      <c r="E371" s="128"/>
      <c r="F371" s="129"/>
      <c r="G371" s="130"/>
      <c r="H371" s="138"/>
      <c r="I371" s="182"/>
      <c r="J371" s="182"/>
      <c r="K371" s="142"/>
      <c r="L371" s="173"/>
      <c r="M371" s="173"/>
      <c r="N371" s="173"/>
      <c r="O371" s="173"/>
      <c r="P371" s="173"/>
      <c r="Q371" s="35"/>
      <c r="R371" s="58"/>
      <c r="S371" s="1"/>
      <c r="T371" s="1"/>
    </row>
    <row r="372" spans="1:20" s="33" customFormat="1" x14ac:dyDescent="0.2">
      <c r="A372" s="110"/>
      <c r="B372" s="111"/>
      <c r="C372" s="168"/>
      <c r="D372" s="169"/>
      <c r="E372" s="128"/>
      <c r="F372" s="129"/>
      <c r="G372" s="130"/>
      <c r="H372" s="138"/>
      <c r="I372" s="182"/>
      <c r="J372" s="182"/>
      <c r="K372" s="142"/>
      <c r="L372" s="173"/>
      <c r="M372" s="173"/>
      <c r="N372" s="173"/>
      <c r="O372" s="173"/>
      <c r="P372" s="173"/>
      <c r="Q372" s="35"/>
      <c r="R372" s="58"/>
      <c r="S372" s="1"/>
      <c r="T372" s="1"/>
    </row>
    <row r="373" spans="1:20" s="33" customFormat="1" x14ac:dyDescent="0.2">
      <c r="A373" s="110"/>
      <c r="B373" s="111"/>
      <c r="C373" s="168"/>
      <c r="D373" s="169"/>
      <c r="E373" s="128"/>
      <c r="F373" s="129"/>
      <c r="G373" s="130"/>
      <c r="H373" s="138"/>
      <c r="I373" s="182"/>
      <c r="J373" s="182"/>
      <c r="K373" s="142"/>
      <c r="L373" s="173"/>
      <c r="M373" s="173"/>
      <c r="N373" s="173"/>
      <c r="O373" s="173"/>
      <c r="P373" s="173"/>
      <c r="Q373" s="35"/>
      <c r="R373" s="58"/>
      <c r="S373" s="1"/>
      <c r="T373" s="1"/>
    </row>
    <row r="374" spans="1:20" s="33" customFormat="1" x14ac:dyDescent="0.2">
      <c r="A374" s="110"/>
      <c r="B374" s="111"/>
      <c r="C374" s="168"/>
      <c r="D374" s="169"/>
      <c r="E374" s="128"/>
      <c r="F374" s="129"/>
      <c r="G374" s="130"/>
      <c r="H374" s="138"/>
      <c r="I374" s="182"/>
      <c r="J374" s="182"/>
      <c r="K374" s="142"/>
      <c r="L374" s="173"/>
      <c r="M374" s="173"/>
      <c r="N374" s="173"/>
      <c r="O374" s="173"/>
      <c r="P374" s="173"/>
      <c r="Q374" s="35"/>
      <c r="R374" s="58"/>
      <c r="S374" s="1"/>
      <c r="T374" s="1"/>
    </row>
    <row r="375" spans="1:20" s="33" customFormat="1" x14ac:dyDescent="0.2">
      <c r="A375" s="110"/>
      <c r="B375" s="111"/>
      <c r="C375" s="168"/>
      <c r="D375" s="169"/>
      <c r="E375" s="128"/>
      <c r="F375" s="129"/>
      <c r="G375" s="130"/>
      <c r="H375" s="138"/>
      <c r="I375" s="182"/>
      <c r="J375" s="182"/>
      <c r="K375" s="142"/>
      <c r="L375" s="173"/>
      <c r="M375" s="173"/>
      <c r="N375" s="173"/>
      <c r="O375" s="173"/>
      <c r="P375" s="173"/>
      <c r="Q375" s="35"/>
      <c r="R375" s="58"/>
      <c r="S375" s="1"/>
      <c r="T375" s="1"/>
    </row>
    <row r="376" spans="1:20" s="33" customFormat="1" x14ac:dyDescent="0.2">
      <c r="A376" s="110"/>
      <c r="B376" s="111"/>
      <c r="C376" s="168"/>
      <c r="D376" s="169"/>
      <c r="E376" s="128"/>
      <c r="F376" s="129"/>
      <c r="G376" s="130"/>
      <c r="H376" s="138"/>
      <c r="I376" s="182"/>
      <c r="J376" s="182"/>
      <c r="K376" s="142"/>
      <c r="L376" s="173"/>
      <c r="M376" s="173"/>
      <c r="N376" s="173"/>
      <c r="O376" s="173"/>
      <c r="P376" s="173"/>
      <c r="Q376" s="35"/>
      <c r="R376" s="58"/>
      <c r="S376" s="1"/>
      <c r="T376" s="1"/>
    </row>
    <row r="377" spans="1:20" s="33" customFormat="1" x14ac:dyDescent="0.2">
      <c r="A377" s="110"/>
      <c r="B377" s="111"/>
      <c r="C377" s="168"/>
      <c r="D377" s="169"/>
      <c r="E377" s="128"/>
      <c r="F377" s="129"/>
      <c r="G377" s="130"/>
      <c r="H377" s="138"/>
      <c r="I377" s="182"/>
      <c r="J377" s="182"/>
      <c r="K377" s="142"/>
      <c r="L377" s="173"/>
      <c r="M377" s="173"/>
      <c r="N377" s="173"/>
      <c r="O377" s="173"/>
      <c r="P377" s="173"/>
      <c r="Q377" s="35"/>
      <c r="R377" s="58"/>
      <c r="S377" s="1"/>
      <c r="T377" s="1"/>
    </row>
    <row r="378" spans="1:20" s="33" customFormat="1" x14ac:dyDescent="0.2">
      <c r="A378" s="110"/>
      <c r="B378" s="111"/>
      <c r="C378" s="168"/>
      <c r="D378" s="169"/>
      <c r="E378" s="128"/>
      <c r="F378" s="129"/>
      <c r="G378" s="130"/>
      <c r="H378" s="138"/>
      <c r="I378" s="182"/>
      <c r="J378" s="182"/>
      <c r="K378" s="142"/>
      <c r="L378" s="173"/>
      <c r="M378" s="173"/>
      <c r="N378" s="173"/>
      <c r="O378" s="173"/>
      <c r="P378" s="173"/>
      <c r="Q378" s="35"/>
      <c r="R378" s="58"/>
      <c r="S378" s="1"/>
      <c r="T378" s="1"/>
    </row>
    <row r="379" spans="1:20" s="33" customFormat="1" x14ac:dyDescent="0.2">
      <c r="A379" s="110"/>
      <c r="B379" s="111"/>
      <c r="C379" s="168"/>
      <c r="D379" s="169"/>
      <c r="E379" s="128"/>
      <c r="F379" s="129"/>
      <c r="G379" s="130"/>
      <c r="H379" s="138"/>
      <c r="I379" s="182"/>
      <c r="J379" s="182"/>
      <c r="K379" s="142"/>
      <c r="L379" s="173"/>
      <c r="M379" s="173"/>
      <c r="N379" s="173"/>
      <c r="O379" s="173"/>
      <c r="P379" s="173"/>
      <c r="Q379" s="35"/>
      <c r="R379" s="58"/>
      <c r="S379" s="1"/>
      <c r="T379" s="1"/>
    </row>
    <row r="380" spans="1:20" s="33" customFormat="1" x14ac:dyDescent="0.2">
      <c r="A380" s="110"/>
      <c r="B380" s="111"/>
      <c r="C380" s="168"/>
      <c r="D380" s="169"/>
      <c r="E380" s="128"/>
      <c r="F380" s="129"/>
      <c r="G380" s="130"/>
      <c r="H380" s="138"/>
      <c r="I380" s="182"/>
      <c r="J380" s="182"/>
      <c r="K380" s="142"/>
      <c r="L380" s="173"/>
      <c r="M380" s="173"/>
      <c r="N380" s="173"/>
      <c r="O380" s="173"/>
      <c r="P380" s="173"/>
      <c r="Q380" s="35"/>
      <c r="R380" s="58"/>
      <c r="S380" s="1"/>
      <c r="T380" s="1"/>
    </row>
    <row r="381" spans="1:20" s="33" customFormat="1" x14ac:dyDescent="0.2">
      <c r="A381" s="110"/>
      <c r="B381" s="111"/>
      <c r="C381" s="168"/>
      <c r="D381" s="169"/>
      <c r="E381" s="128"/>
      <c r="F381" s="129"/>
      <c r="G381" s="130"/>
      <c r="H381" s="138"/>
      <c r="I381" s="182"/>
      <c r="J381" s="182"/>
      <c r="K381" s="142"/>
      <c r="L381" s="173"/>
      <c r="M381" s="173"/>
      <c r="N381" s="173"/>
      <c r="O381" s="173"/>
      <c r="P381" s="173"/>
      <c r="Q381" s="35"/>
      <c r="R381" s="58"/>
      <c r="S381" s="1"/>
      <c r="T381" s="1"/>
    </row>
    <row r="382" spans="1:20" s="33" customFormat="1" x14ac:dyDescent="0.2">
      <c r="A382" s="110"/>
      <c r="B382" s="111"/>
      <c r="C382" s="168"/>
      <c r="D382" s="169"/>
      <c r="E382" s="128"/>
      <c r="F382" s="129"/>
      <c r="G382" s="130"/>
      <c r="H382" s="138"/>
      <c r="I382" s="182"/>
      <c r="J382" s="182"/>
      <c r="K382" s="142"/>
      <c r="L382" s="173"/>
      <c r="M382" s="173"/>
      <c r="N382" s="173"/>
      <c r="O382" s="173"/>
      <c r="P382" s="173"/>
      <c r="Q382" s="35"/>
      <c r="R382" s="58"/>
      <c r="S382" s="1"/>
      <c r="T382" s="1"/>
    </row>
    <row r="383" spans="1:20" s="33" customFormat="1" x14ac:dyDescent="0.2">
      <c r="A383" s="110"/>
      <c r="B383" s="111"/>
      <c r="C383" s="168"/>
      <c r="D383" s="169"/>
      <c r="E383" s="128"/>
      <c r="F383" s="129"/>
      <c r="G383" s="130"/>
      <c r="H383" s="138"/>
      <c r="I383" s="182"/>
      <c r="J383" s="182"/>
      <c r="K383" s="142"/>
      <c r="L383" s="173"/>
      <c r="M383" s="173"/>
      <c r="N383" s="173"/>
      <c r="O383" s="173"/>
      <c r="P383" s="173"/>
      <c r="Q383" s="35"/>
      <c r="R383" s="58"/>
      <c r="S383" s="1"/>
      <c r="T383" s="1"/>
    </row>
    <row r="384" spans="1:20" s="33" customFormat="1" x14ac:dyDescent="0.2">
      <c r="A384" s="110"/>
      <c r="B384" s="111"/>
      <c r="C384" s="168"/>
      <c r="D384" s="169"/>
      <c r="E384" s="128"/>
      <c r="F384" s="129"/>
      <c r="G384" s="130"/>
      <c r="H384" s="138"/>
      <c r="I384" s="182"/>
      <c r="J384" s="182"/>
      <c r="K384" s="142"/>
      <c r="L384" s="173"/>
      <c r="M384" s="173"/>
      <c r="N384" s="173"/>
      <c r="O384" s="173"/>
      <c r="P384" s="173"/>
      <c r="Q384" s="35"/>
      <c r="R384" s="58"/>
      <c r="S384" s="1"/>
      <c r="T384" s="1"/>
    </row>
    <row r="385" spans="1:20" s="33" customFormat="1" x14ac:dyDescent="0.2">
      <c r="A385" s="110"/>
      <c r="B385" s="111"/>
      <c r="C385" s="168"/>
      <c r="D385" s="169"/>
      <c r="E385" s="128"/>
      <c r="F385" s="129"/>
      <c r="G385" s="130"/>
      <c r="H385" s="138"/>
      <c r="I385" s="182"/>
      <c r="J385" s="182"/>
      <c r="K385" s="142"/>
      <c r="L385" s="173"/>
      <c r="M385" s="173"/>
      <c r="N385" s="173"/>
      <c r="O385" s="173"/>
      <c r="P385" s="173"/>
      <c r="Q385" s="35"/>
      <c r="R385" s="58"/>
      <c r="S385" s="1"/>
      <c r="T385" s="1"/>
    </row>
    <row r="386" spans="1:20" s="33" customFormat="1" x14ac:dyDescent="0.2">
      <c r="A386" s="110"/>
      <c r="B386" s="111"/>
      <c r="C386" s="168"/>
      <c r="D386" s="169"/>
      <c r="E386" s="128"/>
      <c r="F386" s="129"/>
      <c r="G386" s="130"/>
      <c r="H386" s="138"/>
      <c r="I386" s="182"/>
      <c r="J386" s="182"/>
      <c r="K386" s="142"/>
      <c r="L386" s="173"/>
      <c r="M386" s="173"/>
      <c r="N386" s="173"/>
      <c r="O386" s="173"/>
      <c r="P386" s="173"/>
      <c r="Q386" s="35"/>
      <c r="R386" s="58"/>
      <c r="S386" s="1"/>
      <c r="T386" s="1"/>
    </row>
    <row r="387" spans="1:20" s="33" customFormat="1" x14ac:dyDescent="0.2">
      <c r="A387" s="110"/>
      <c r="B387" s="111"/>
      <c r="C387" s="168"/>
      <c r="D387" s="169"/>
      <c r="E387" s="128"/>
      <c r="F387" s="129"/>
      <c r="G387" s="130"/>
      <c r="H387" s="138"/>
      <c r="I387" s="182"/>
      <c r="J387" s="182"/>
      <c r="K387" s="142"/>
      <c r="L387" s="173"/>
      <c r="M387" s="173"/>
      <c r="N387" s="173"/>
      <c r="O387" s="173"/>
      <c r="P387" s="173"/>
      <c r="Q387" s="35"/>
      <c r="R387" s="58"/>
      <c r="S387" s="1"/>
      <c r="T387" s="1"/>
    </row>
    <row r="388" spans="1:20" s="33" customFormat="1" x14ac:dyDescent="0.2">
      <c r="A388" s="110"/>
      <c r="B388" s="111"/>
      <c r="C388" s="168"/>
      <c r="D388" s="169"/>
      <c r="E388" s="128"/>
      <c r="F388" s="129"/>
      <c r="G388" s="130"/>
      <c r="H388" s="138"/>
      <c r="I388" s="182"/>
      <c r="J388" s="182"/>
      <c r="K388" s="142"/>
      <c r="L388" s="173"/>
      <c r="M388" s="173"/>
      <c r="N388" s="173"/>
      <c r="O388" s="173"/>
      <c r="P388" s="173"/>
      <c r="Q388" s="35"/>
      <c r="R388" s="58"/>
      <c r="S388" s="1"/>
      <c r="T388" s="1"/>
    </row>
    <row r="389" spans="1:20" s="33" customFormat="1" x14ac:dyDescent="0.2">
      <c r="A389" s="110"/>
      <c r="B389" s="111"/>
      <c r="C389" s="168"/>
      <c r="D389" s="169"/>
      <c r="E389" s="128"/>
      <c r="F389" s="129"/>
      <c r="G389" s="130"/>
      <c r="H389" s="138"/>
      <c r="I389" s="182"/>
      <c r="J389" s="182"/>
      <c r="K389" s="142"/>
      <c r="L389" s="173"/>
      <c r="M389" s="173"/>
      <c r="N389" s="173"/>
      <c r="O389" s="173"/>
      <c r="P389" s="173"/>
      <c r="Q389" s="35"/>
      <c r="R389" s="58"/>
      <c r="S389" s="1"/>
      <c r="T389" s="1"/>
    </row>
    <row r="390" spans="1:20" s="33" customFormat="1" x14ac:dyDescent="0.2">
      <c r="A390" s="110"/>
      <c r="B390" s="111"/>
      <c r="C390" s="168"/>
      <c r="D390" s="169"/>
      <c r="E390" s="128"/>
      <c r="F390" s="129"/>
      <c r="G390" s="130"/>
      <c r="H390" s="138"/>
      <c r="I390" s="182"/>
      <c r="J390" s="182"/>
      <c r="K390" s="142"/>
      <c r="L390" s="173"/>
      <c r="M390" s="173"/>
      <c r="N390" s="173"/>
      <c r="O390" s="173"/>
      <c r="P390" s="173"/>
      <c r="Q390" s="35"/>
      <c r="R390" s="58"/>
      <c r="S390" s="1"/>
      <c r="T390" s="1"/>
    </row>
    <row r="391" spans="1:20" s="33" customFormat="1" x14ac:dyDescent="0.2">
      <c r="A391" s="110"/>
      <c r="B391" s="111"/>
      <c r="C391" s="168"/>
      <c r="D391" s="169"/>
      <c r="E391" s="128"/>
      <c r="F391" s="129"/>
      <c r="G391" s="130"/>
      <c r="H391" s="138"/>
      <c r="I391" s="182"/>
      <c r="J391" s="182"/>
      <c r="K391" s="142"/>
      <c r="L391" s="173"/>
      <c r="M391" s="173"/>
      <c r="N391" s="173"/>
      <c r="O391" s="173"/>
      <c r="P391" s="173"/>
      <c r="Q391" s="35"/>
      <c r="R391" s="58"/>
      <c r="S391" s="1"/>
      <c r="T391" s="1"/>
    </row>
    <row r="392" spans="1:20" s="33" customFormat="1" x14ac:dyDescent="0.2">
      <c r="A392" s="110"/>
      <c r="B392" s="111"/>
      <c r="C392" s="168"/>
      <c r="D392" s="169"/>
      <c r="E392" s="128"/>
      <c r="F392" s="129"/>
      <c r="G392" s="130"/>
      <c r="H392" s="138"/>
      <c r="I392" s="182"/>
      <c r="J392" s="182"/>
      <c r="K392" s="142"/>
      <c r="L392" s="173"/>
      <c r="M392" s="173"/>
      <c r="N392" s="173"/>
      <c r="O392" s="173"/>
      <c r="P392" s="173"/>
      <c r="Q392" s="35"/>
      <c r="R392" s="58"/>
      <c r="S392" s="1"/>
      <c r="T392" s="1"/>
    </row>
    <row r="393" spans="1:20" s="33" customFormat="1" x14ac:dyDescent="0.2">
      <c r="A393" s="110"/>
      <c r="B393" s="111"/>
      <c r="C393" s="168"/>
      <c r="D393" s="169"/>
      <c r="E393" s="128"/>
      <c r="F393" s="129"/>
      <c r="G393" s="130"/>
      <c r="H393" s="138"/>
      <c r="I393" s="182"/>
      <c r="J393" s="182"/>
      <c r="K393" s="142"/>
      <c r="L393" s="173"/>
      <c r="M393" s="173"/>
      <c r="N393" s="173"/>
      <c r="O393" s="173"/>
      <c r="P393" s="173"/>
      <c r="Q393" s="35"/>
      <c r="R393" s="58"/>
      <c r="S393" s="1"/>
      <c r="T393" s="1"/>
    </row>
    <row r="394" spans="1:20" s="33" customFormat="1" x14ac:dyDescent="0.2">
      <c r="A394" s="110"/>
      <c r="B394" s="111"/>
      <c r="C394" s="168"/>
      <c r="D394" s="169"/>
      <c r="E394" s="128"/>
      <c r="F394" s="129"/>
      <c r="G394" s="130"/>
      <c r="H394" s="138"/>
      <c r="I394" s="182"/>
      <c r="J394" s="182"/>
      <c r="K394" s="142"/>
      <c r="L394" s="173"/>
      <c r="M394" s="173"/>
      <c r="N394" s="173"/>
      <c r="O394" s="173"/>
      <c r="P394" s="173"/>
      <c r="Q394" s="35"/>
      <c r="R394" s="58"/>
      <c r="S394" s="1"/>
      <c r="T394" s="1"/>
    </row>
    <row r="395" spans="1:20" s="33" customFormat="1" x14ac:dyDescent="0.2">
      <c r="A395" s="110"/>
      <c r="B395" s="111"/>
      <c r="C395" s="168"/>
      <c r="D395" s="169"/>
      <c r="E395" s="128"/>
      <c r="F395" s="129"/>
      <c r="G395" s="130"/>
      <c r="H395" s="138"/>
      <c r="I395" s="182"/>
      <c r="J395" s="182"/>
      <c r="K395" s="142"/>
      <c r="L395" s="173"/>
      <c r="M395" s="173"/>
      <c r="N395" s="173"/>
      <c r="O395" s="173"/>
      <c r="P395" s="173"/>
      <c r="Q395" s="35"/>
      <c r="R395" s="58"/>
      <c r="S395" s="1"/>
      <c r="T395" s="1"/>
    </row>
    <row r="396" spans="1:20" s="33" customFormat="1" x14ac:dyDescent="0.2">
      <c r="A396" s="110"/>
      <c r="B396" s="111"/>
      <c r="C396" s="168"/>
      <c r="D396" s="169"/>
      <c r="E396" s="128"/>
      <c r="F396" s="129"/>
      <c r="G396" s="130"/>
      <c r="H396" s="138"/>
      <c r="I396" s="182"/>
      <c r="J396" s="182"/>
      <c r="K396" s="142"/>
      <c r="L396" s="173"/>
      <c r="M396" s="173"/>
      <c r="N396" s="173"/>
      <c r="O396" s="173"/>
      <c r="P396" s="173"/>
      <c r="Q396" s="35"/>
      <c r="R396" s="58"/>
      <c r="S396" s="1"/>
      <c r="T396" s="1"/>
    </row>
    <row r="397" spans="1:20" s="33" customFormat="1" x14ac:dyDescent="0.2">
      <c r="A397" s="110"/>
      <c r="B397" s="111"/>
      <c r="C397" s="168"/>
      <c r="D397" s="169"/>
      <c r="E397" s="128"/>
      <c r="F397" s="129"/>
      <c r="G397" s="130"/>
      <c r="H397" s="138"/>
      <c r="I397" s="182"/>
      <c r="J397" s="182"/>
      <c r="K397" s="142"/>
      <c r="L397" s="173"/>
      <c r="M397" s="173"/>
      <c r="N397" s="173"/>
      <c r="O397" s="173"/>
      <c r="P397" s="173"/>
      <c r="Q397" s="35"/>
      <c r="R397" s="58"/>
      <c r="S397" s="1"/>
      <c r="T397" s="1"/>
    </row>
    <row r="398" spans="1:20" s="33" customFormat="1" x14ac:dyDescent="0.2">
      <c r="A398" s="110"/>
      <c r="B398" s="111"/>
      <c r="C398" s="168"/>
      <c r="D398" s="169"/>
      <c r="E398" s="128"/>
      <c r="F398" s="129"/>
      <c r="G398" s="130"/>
      <c r="H398" s="138"/>
      <c r="I398" s="182"/>
      <c r="J398" s="182"/>
      <c r="K398" s="142"/>
      <c r="L398" s="173"/>
      <c r="M398" s="173"/>
      <c r="N398" s="173"/>
      <c r="O398" s="173"/>
      <c r="P398" s="173"/>
      <c r="Q398" s="35"/>
      <c r="R398" s="58"/>
      <c r="S398" s="1"/>
      <c r="T398" s="1"/>
    </row>
    <row r="399" spans="1:20" s="33" customFormat="1" x14ac:dyDescent="0.2">
      <c r="A399" s="110"/>
      <c r="B399" s="111"/>
      <c r="C399" s="168"/>
      <c r="D399" s="169"/>
      <c r="E399" s="128"/>
      <c r="F399" s="129"/>
      <c r="G399" s="130"/>
      <c r="H399" s="138"/>
      <c r="I399" s="182"/>
      <c r="J399" s="182"/>
      <c r="K399" s="142"/>
      <c r="L399" s="173"/>
      <c r="M399" s="173"/>
      <c r="N399" s="173"/>
      <c r="O399" s="173"/>
      <c r="P399" s="173"/>
      <c r="Q399" s="35"/>
      <c r="R399" s="58"/>
      <c r="S399" s="1"/>
      <c r="T399" s="1"/>
    </row>
    <row r="400" spans="1:20" s="33" customFormat="1" x14ac:dyDescent="0.2">
      <c r="A400" s="110"/>
      <c r="B400" s="111"/>
      <c r="C400" s="168"/>
      <c r="D400" s="169"/>
      <c r="E400" s="128"/>
      <c r="F400" s="129"/>
      <c r="G400" s="130"/>
      <c r="H400" s="138"/>
      <c r="I400" s="182"/>
      <c r="J400" s="182"/>
      <c r="K400" s="142"/>
      <c r="L400" s="173"/>
      <c r="M400" s="173"/>
      <c r="N400" s="173"/>
      <c r="O400" s="173"/>
      <c r="P400" s="173"/>
      <c r="Q400" s="35"/>
      <c r="R400" s="58"/>
      <c r="S400" s="1"/>
      <c r="T400" s="1"/>
    </row>
    <row r="401" spans="1:20" s="33" customFormat="1" x14ac:dyDescent="0.2">
      <c r="A401" s="110"/>
      <c r="B401" s="111"/>
      <c r="C401" s="168"/>
      <c r="D401" s="169"/>
      <c r="E401" s="128"/>
      <c r="F401" s="129"/>
      <c r="G401" s="130"/>
      <c r="H401" s="138"/>
      <c r="I401" s="182"/>
      <c r="J401" s="182"/>
      <c r="K401" s="142"/>
      <c r="L401" s="173"/>
      <c r="M401" s="173"/>
      <c r="N401" s="173"/>
      <c r="O401" s="173"/>
      <c r="P401" s="173"/>
      <c r="Q401" s="35"/>
      <c r="R401" s="58"/>
      <c r="S401" s="1"/>
      <c r="T401" s="1"/>
    </row>
    <row r="402" spans="1:20" s="33" customFormat="1" x14ac:dyDescent="0.2">
      <c r="A402" s="110"/>
      <c r="B402" s="111"/>
      <c r="C402" s="168"/>
      <c r="D402" s="169"/>
      <c r="E402" s="128"/>
      <c r="F402" s="129"/>
      <c r="G402" s="130"/>
      <c r="H402" s="138"/>
      <c r="I402" s="182"/>
      <c r="J402" s="182"/>
      <c r="K402" s="142"/>
      <c r="L402" s="173"/>
      <c r="M402" s="173"/>
      <c r="N402" s="173"/>
      <c r="O402" s="173"/>
      <c r="P402" s="173"/>
      <c r="Q402" s="35"/>
      <c r="R402" s="58"/>
      <c r="S402" s="1"/>
      <c r="T402" s="1"/>
    </row>
    <row r="403" spans="1:20" s="33" customFormat="1" x14ac:dyDescent="0.2">
      <c r="A403" s="110"/>
      <c r="B403" s="111"/>
      <c r="C403" s="168"/>
      <c r="D403" s="169"/>
      <c r="E403" s="128"/>
      <c r="F403" s="129"/>
      <c r="G403" s="130"/>
      <c r="H403" s="138"/>
      <c r="I403" s="182"/>
      <c r="J403" s="182"/>
      <c r="K403" s="142"/>
      <c r="L403" s="173"/>
      <c r="M403" s="173"/>
      <c r="N403" s="173"/>
      <c r="O403" s="173"/>
      <c r="P403" s="173"/>
      <c r="Q403" s="35"/>
      <c r="R403" s="58"/>
      <c r="S403" s="1"/>
      <c r="T403" s="1"/>
    </row>
    <row r="404" spans="1:20" s="33" customFormat="1" x14ac:dyDescent="0.2">
      <c r="A404" s="110"/>
      <c r="B404" s="111"/>
      <c r="C404" s="168"/>
      <c r="D404" s="169"/>
      <c r="E404" s="128"/>
      <c r="F404" s="129"/>
      <c r="G404" s="130"/>
      <c r="H404" s="138"/>
      <c r="I404" s="182"/>
      <c r="J404" s="182"/>
      <c r="K404" s="142"/>
      <c r="L404" s="173"/>
      <c r="M404" s="173"/>
      <c r="N404" s="173"/>
      <c r="O404" s="173"/>
      <c r="P404" s="173"/>
      <c r="Q404" s="35"/>
      <c r="R404" s="58"/>
      <c r="S404" s="1"/>
      <c r="T404" s="1"/>
    </row>
    <row r="405" spans="1:20" s="33" customFormat="1" x14ac:dyDescent="0.2">
      <c r="A405" s="110"/>
      <c r="B405" s="111"/>
      <c r="C405" s="168"/>
      <c r="D405" s="169"/>
      <c r="E405" s="128"/>
      <c r="F405" s="129"/>
      <c r="G405" s="130"/>
      <c r="H405" s="138"/>
      <c r="I405" s="182"/>
      <c r="J405" s="182"/>
      <c r="K405" s="142"/>
      <c r="L405" s="173"/>
      <c r="M405" s="173"/>
      <c r="N405" s="173"/>
      <c r="O405" s="173"/>
      <c r="P405" s="173"/>
      <c r="Q405" s="35"/>
      <c r="R405" s="58"/>
      <c r="S405" s="1"/>
      <c r="T405" s="1"/>
    </row>
    <row r="406" spans="1:20" s="33" customFormat="1" x14ac:dyDescent="0.2">
      <c r="A406" s="110"/>
      <c r="B406" s="111"/>
      <c r="C406" s="168"/>
      <c r="D406" s="169"/>
      <c r="E406" s="128"/>
      <c r="F406" s="129"/>
      <c r="G406" s="130"/>
      <c r="H406" s="138"/>
      <c r="I406" s="182"/>
      <c r="J406" s="182"/>
      <c r="K406" s="142"/>
      <c r="L406" s="173"/>
      <c r="M406" s="173"/>
      <c r="N406" s="173"/>
      <c r="O406" s="173"/>
      <c r="P406" s="173"/>
      <c r="Q406" s="35"/>
      <c r="R406" s="58"/>
      <c r="S406" s="1"/>
      <c r="T406" s="1"/>
    </row>
    <row r="407" spans="1:20" s="33" customFormat="1" x14ac:dyDescent="0.2">
      <c r="A407" s="110"/>
      <c r="B407" s="111"/>
      <c r="C407" s="168"/>
      <c r="D407" s="169"/>
      <c r="E407" s="128"/>
      <c r="F407" s="129"/>
      <c r="G407" s="130"/>
      <c r="H407" s="138"/>
      <c r="I407" s="182"/>
      <c r="J407" s="182"/>
      <c r="K407" s="142"/>
      <c r="L407" s="173"/>
      <c r="M407" s="173"/>
      <c r="N407" s="173"/>
      <c r="O407" s="173"/>
      <c r="P407" s="173"/>
      <c r="Q407" s="35"/>
      <c r="R407" s="58"/>
      <c r="S407" s="1"/>
      <c r="T407" s="1"/>
    </row>
    <row r="408" spans="1:20" s="33" customFormat="1" x14ac:dyDescent="0.2">
      <c r="A408" s="110"/>
      <c r="B408" s="111"/>
      <c r="C408" s="168"/>
      <c r="D408" s="169"/>
      <c r="E408" s="128"/>
      <c r="F408" s="129"/>
      <c r="G408" s="130"/>
      <c r="H408" s="138"/>
      <c r="I408" s="182"/>
      <c r="J408" s="182"/>
      <c r="K408" s="142"/>
      <c r="L408" s="173"/>
      <c r="M408" s="173"/>
      <c r="N408" s="173"/>
      <c r="O408" s="173"/>
      <c r="P408" s="173"/>
      <c r="Q408" s="35"/>
      <c r="R408" s="58"/>
      <c r="S408" s="1"/>
      <c r="T408" s="1"/>
    </row>
    <row r="409" spans="1:20" s="33" customFormat="1" x14ac:dyDescent="0.2">
      <c r="A409" s="110"/>
      <c r="B409" s="111"/>
      <c r="C409" s="168"/>
      <c r="D409" s="169"/>
      <c r="E409" s="128"/>
      <c r="F409" s="129"/>
      <c r="G409" s="130"/>
      <c r="H409" s="138"/>
      <c r="I409" s="182"/>
      <c r="J409" s="182"/>
      <c r="K409" s="142"/>
      <c r="L409" s="173"/>
      <c r="M409" s="173"/>
      <c r="N409" s="173"/>
      <c r="O409" s="173"/>
      <c r="P409" s="173"/>
      <c r="Q409" s="35"/>
      <c r="R409" s="58"/>
      <c r="S409" s="1"/>
      <c r="T409" s="1"/>
    </row>
    <row r="410" spans="1:20" s="33" customFormat="1" x14ac:dyDescent="0.2">
      <c r="A410" s="110"/>
      <c r="B410" s="111"/>
      <c r="C410" s="168"/>
      <c r="D410" s="169"/>
      <c r="E410" s="128"/>
      <c r="F410" s="129"/>
      <c r="G410" s="130"/>
      <c r="H410" s="138"/>
      <c r="I410" s="182"/>
      <c r="J410" s="182"/>
      <c r="K410" s="142"/>
      <c r="L410" s="173"/>
      <c r="M410" s="173"/>
      <c r="N410" s="173"/>
      <c r="O410" s="173"/>
      <c r="P410" s="173"/>
      <c r="Q410" s="35"/>
      <c r="R410" s="58"/>
      <c r="S410" s="1"/>
      <c r="T410" s="1"/>
    </row>
    <row r="411" spans="1:20" s="33" customFormat="1" x14ac:dyDescent="0.2">
      <c r="A411" s="110"/>
      <c r="B411" s="111"/>
      <c r="C411" s="168"/>
      <c r="D411" s="169"/>
      <c r="E411" s="128"/>
      <c r="F411" s="129"/>
      <c r="G411" s="130"/>
      <c r="H411" s="138"/>
      <c r="I411" s="182"/>
      <c r="J411" s="182"/>
      <c r="K411" s="142"/>
      <c r="L411" s="173"/>
      <c r="M411" s="173"/>
      <c r="N411" s="173"/>
      <c r="O411" s="173"/>
      <c r="P411" s="173"/>
      <c r="Q411" s="35"/>
      <c r="R411" s="58"/>
      <c r="S411" s="1"/>
      <c r="T411" s="1"/>
    </row>
    <row r="412" spans="1:20" s="33" customFormat="1" x14ac:dyDescent="0.2">
      <c r="A412" s="110"/>
      <c r="B412" s="111"/>
      <c r="C412" s="168"/>
      <c r="D412" s="169"/>
      <c r="E412" s="128"/>
      <c r="F412" s="129"/>
      <c r="G412" s="130"/>
      <c r="H412" s="138"/>
      <c r="I412" s="182"/>
      <c r="J412" s="182"/>
      <c r="K412" s="142"/>
      <c r="L412" s="173"/>
      <c r="M412" s="173"/>
      <c r="N412" s="173"/>
      <c r="O412" s="173"/>
      <c r="P412" s="173"/>
      <c r="Q412" s="35"/>
      <c r="R412" s="58"/>
      <c r="S412" s="1"/>
      <c r="T412" s="1"/>
    </row>
    <row r="413" spans="1:20" s="33" customFormat="1" x14ac:dyDescent="0.2">
      <c r="A413" s="110"/>
      <c r="B413" s="111"/>
      <c r="C413" s="168"/>
      <c r="D413" s="169"/>
      <c r="E413" s="128"/>
      <c r="F413" s="129"/>
      <c r="G413" s="130"/>
      <c r="H413" s="138"/>
      <c r="I413" s="182"/>
      <c r="J413" s="182"/>
      <c r="K413" s="142"/>
      <c r="L413" s="173"/>
      <c r="M413" s="173"/>
      <c r="N413" s="173"/>
      <c r="O413" s="173"/>
      <c r="P413" s="173"/>
      <c r="Q413" s="35"/>
      <c r="R413" s="58"/>
      <c r="S413" s="1"/>
      <c r="T413" s="1"/>
    </row>
    <row r="414" spans="1:20" s="33" customFormat="1" x14ac:dyDescent="0.2">
      <c r="A414" s="110"/>
      <c r="B414" s="111"/>
      <c r="C414" s="168"/>
      <c r="D414" s="169"/>
      <c r="E414" s="128"/>
      <c r="F414" s="129"/>
      <c r="G414" s="130"/>
      <c r="H414" s="138"/>
      <c r="I414" s="182"/>
      <c r="J414" s="182"/>
      <c r="K414" s="142"/>
      <c r="L414" s="173"/>
      <c r="M414" s="173"/>
      <c r="N414" s="173"/>
      <c r="O414" s="173"/>
      <c r="P414" s="173"/>
      <c r="Q414" s="35"/>
      <c r="R414" s="58"/>
      <c r="S414" s="1"/>
      <c r="T414" s="1"/>
    </row>
    <row r="415" spans="1:20" s="33" customFormat="1" x14ac:dyDescent="0.2">
      <c r="A415" s="110"/>
      <c r="B415" s="111"/>
      <c r="C415" s="168"/>
      <c r="D415" s="169"/>
      <c r="E415" s="128"/>
      <c r="F415" s="129"/>
      <c r="G415" s="130"/>
      <c r="H415" s="138"/>
      <c r="I415" s="182"/>
      <c r="J415" s="182"/>
      <c r="K415" s="142"/>
      <c r="L415" s="173"/>
      <c r="M415" s="173"/>
      <c r="N415" s="173"/>
      <c r="O415" s="173"/>
      <c r="P415" s="173"/>
      <c r="Q415" s="35"/>
      <c r="R415" s="58"/>
      <c r="S415" s="1"/>
      <c r="T415" s="1"/>
    </row>
    <row r="416" spans="1:20" s="33" customFormat="1" x14ac:dyDescent="0.2">
      <c r="A416" s="110"/>
      <c r="B416" s="111"/>
      <c r="C416" s="168"/>
      <c r="D416" s="169"/>
      <c r="E416" s="128"/>
      <c r="F416" s="129"/>
      <c r="G416" s="130"/>
      <c r="H416" s="138"/>
      <c r="I416" s="182"/>
      <c r="J416" s="182"/>
      <c r="K416" s="142"/>
      <c r="L416" s="173"/>
      <c r="M416" s="173"/>
      <c r="N416" s="173"/>
      <c r="O416" s="173"/>
      <c r="P416" s="173"/>
      <c r="Q416" s="35"/>
      <c r="R416" s="58"/>
      <c r="S416" s="1"/>
      <c r="T416" s="1"/>
    </row>
    <row r="417" spans="1:20" s="33" customFormat="1" x14ac:dyDescent="0.2">
      <c r="A417" s="110"/>
      <c r="B417" s="111"/>
      <c r="C417" s="168"/>
      <c r="D417" s="169"/>
      <c r="E417" s="128"/>
      <c r="F417" s="129"/>
      <c r="G417" s="130"/>
      <c r="H417" s="138"/>
      <c r="I417" s="182"/>
      <c r="J417" s="182"/>
      <c r="K417" s="142"/>
      <c r="L417" s="173"/>
      <c r="M417" s="173"/>
      <c r="N417" s="173"/>
      <c r="O417" s="173"/>
      <c r="P417" s="173"/>
      <c r="Q417" s="35"/>
      <c r="R417" s="58"/>
      <c r="S417" s="1"/>
      <c r="T417" s="1"/>
    </row>
    <row r="418" spans="1:20" s="33" customFormat="1" x14ac:dyDescent="0.2">
      <c r="A418" s="110"/>
      <c r="B418" s="111"/>
      <c r="C418" s="168"/>
      <c r="D418" s="169"/>
      <c r="E418" s="128"/>
      <c r="F418" s="129"/>
      <c r="G418" s="130"/>
      <c r="H418" s="138"/>
      <c r="I418" s="182"/>
      <c r="J418" s="182"/>
      <c r="K418" s="142"/>
      <c r="L418" s="173"/>
      <c r="M418" s="173"/>
      <c r="N418" s="173"/>
      <c r="O418" s="173"/>
      <c r="P418" s="173"/>
      <c r="Q418" s="35"/>
      <c r="R418" s="58"/>
      <c r="S418" s="1"/>
      <c r="T418" s="1"/>
    </row>
    <row r="419" spans="1:20" s="33" customFormat="1" x14ac:dyDescent="0.2">
      <c r="A419" s="110"/>
      <c r="B419" s="111"/>
      <c r="C419" s="168"/>
      <c r="D419" s="169"/>
      <c r="E419" s="128"/>
      <c r="F419" s="129"/>
      <c r="G419" s="130"/>
      <c r="H419" s="138"/>
      <c r="I419" s="182"/>
      <c r="J419" s="182"/>
      <c r="K419" s="142"/>
      <c r="L419" s="173"/>
      <c r="M419" s="173"/>
      <c r="N419" s="173"/>
      <c r="O419" s="173"/>
      <c r="P419" s="173"/>
      <c r="Q419" s="35"/>
      <c r="R419" s="58"/>
      <c r="S419" s="1"/>
      <c r="T419" s="1"/>
    </row>
    <row r="420" spans="1:20" s="33" customFormat="1" x14ac:dyDescent="0.2">
      <c r="A420" s="110"/>
      <c r="B420" s="111"/>
      <c r="C420" s="168"/>
      <c r="D420" s="169"/>
      <c r="E420" s="128"/>
      <c r="F420" s="129"/>
      <c r="G420" s="130"/>
      <c r="H420" s="138"/>
      <c r="I420" s="182"/>
      <c r="J420" s="182"/>
      <c r="K420" s="142"/>
      <c r="L420" s="173"/>
      <c r="M420" s="173"/>
      <c r="N420" s="173"/>
      <c r="O420" s="173"/>
      <c r="P420" s="173"/>
      <c r="Q420" s="35"/>
      <c r="R420" s="58"/>
      <c r="S420" s="1"/>
      <c r="T420" s="1"/>
    </row>
    <row r="421" spans="1:20" s="33" customFormat="1" x14ac:dyDescent="0.2">
      <c r="A421" s="110"/>
      <c r="B421" s="111"/>
      <c r="C421" s="168"/>
      <c r="D421" s="169"/>
      <c r="E421" s="128"/>
      <c r="F421" s="129"/>
      <c r="G421" s="130"/>
      <c r="H421" s="138"/>
      <c r="I421" s="182"/>
      <c r="J421" s="182"/>
      <c r="K421" s="142"/>
      <c r="L421" s="173"/>
      <c r="M421" s="173"/>
      <c r="N421" s="173"/>
      <c r="O421" s="173"/>
      <c r="P421" s="173"/>
      <c r="Q421" s="35"/>
      <c r="R421" s="58"/>
      <c r="S421" s="1"/>
      <c r="T421" s="1"/>
    </row>
    <row r="422" spans="1:20" s="33" customFormat="1" x14ac:dyDescent="0.2">
      <c r="A422" s="110"/>
      <c r="B422" s="111"/>
      <c r="C422" s="168"/>
      <c r="D422" s="169"/>
      <c r="E422" s="128"/>
      <c r="F422" s="129"/>
      <c r="G422" s="130"/>
      <c r="H422" s="138"/>
      <c r="I422" s="182"/>
      <c r="J422" s="182"/>
      <c r="K422" s="142"/>
      <c r="L422" s="173"/>
      <c r="M422" s="173"/>
      <c r="N422" s="173"/>
      <c r="O422" s="173"/>
      <c r="P422" s="173"/>
      <c r="Q422" s="35"/>
      <c r="R422" s="58"/>
      <c r="S422" s="1"/>
      <c r="T422" s="1"/>
    </row>
    <row r="423" spans="1:20" s="33" customFormat="1" x14ac:dyDescent="0.2">
      <c r="A423" s="110"/>
      <c r="B423" s="111"/>
      <c r="C423" s="168"/>
      <c r="D423" s="169"/>
      <c r="E423" s="128"/>
      <c r="F423" s="129"/>
      <c r="G423" s="130"/>
      <c r="H423" s="138"/>
      <c r="I423" s="182"/>
      <c r="J423" s="182"/>
      <c r="K423" s="142"/>
      <c r="L423" s="173"/>
      <c r="M423" s="173"/>
      <c r="N423" s="173"/>
      <c r="O423" s="173"/>
      <c r="P423" s="173"/>
      <c r="Q423" s="35"/>
      <c r="R423" s="58"/>
      <c r="S423" s="1"/>
      <c r="T423" s="1"/>
    </row>
    <row r="424" spans="1:20" s="33" customFormat="1" x14ac:dyDescent="0.2">
      <c r="A424" s="110"/>
      <c r="B424" s="111"/>
      <c r="C424" s="168"/>
      <c r="D424" s="169"/>
      <c r="E424" s="128"/>
      <c r="F424" s="129"/>
      <c r="G424" s="130"/>
      <c r="H424" s="138"/>
      <c r="I424" s="182"/>
      <c r="J424" s="182"/>
      <c r="K424" s="142"/>
      <c r="L424" s="173"/>
      <c r="M424" s="173"/>
      <c r="N424" s="173"/>
      <c r="O424" s="173"/>
      <c r="P424" s="173"/>
      <c r="Q424" s="35"/>
      <c r="R424" s="58"/>
      <c r="S424" s="1"/>
      <c r="T424" s="1"/>
    </row>
    <row r="425" spans="1:20" s="33" customFormat="1" x14ac:dyDescent="0.2">
      <c r="A425" s="110"/>
      <c r="B425" s="111"/>
      <c r="C425" s="168"/>
      <c r="D425" s="169"/>
      <c r="E425" s="128"/>
      <c r="F425" s="129"/>
      <c r="G425" s="130"/>
      <c r="H425" s="138"/>
      <c r="I425" s="182"/>
      <c r="J425" s="182"/>
      <c r="K425" s="142"/>
      <c r="L425" s="173"/>
      <c r="M425" s="173"/>
      <c r="N425" s="173"/>
      <c r="O425" s="173"/>
      <c r="P425" s="173"/>
      <c r="Q425" s="35"/>
      <c r="R425" s="58"/>
      <c r="S425" s="1"/>
      <c r="T425" s="1"/>
    </row>
    <row r="426" spans="1:20" s="33" customFormat="1" x14ac:dyDescent="0.2">
      <c r="A426" s="110"/>
      <c r="B426" s="111"/>
      <c r="C426" s="168"/>
      <c r="D426" s="169"/>
      <c r="E426" s="128"/>
      <c r="F426" s="129"/>
      <c r="G426" s="130"/>
      <c r="H426" s="138"/>
      <c r="I426" s="182"/>
      <c r="J426" s="182"/>
      <c r="K426" s="142"/>
      <c r="L426" s="173"/>
      <c r="M426" s="173"/>
      <c r="N426" s="173"/>
      <c r="O426" s="173"/>
      <c r="P426" s="173"/>
      <c r="Q426" s="35"/>
      <c r="R426" s="58"/>
      <c r="S426" s="1"/>
      <c r="T426" s="1"/>
    </row>
    <row r="427" spans="1:20" s="33" customFormat="1" x14ac:dyDescent="0.2">
      <c r="A427" s="110"/>
      <c r="B427" s="111"/>
      <c r="C427" s="168"/>
      <c r="D427" s="169"/>
      <c r="E427" s="128"/>
      <c r="F427" s="129"/>
      <c r="G427" s="130"/>
      <c r="H427" s="138"/>
      <c r="I427" s="182"/>
      <c r="J427" s="182"/>
      <c r="K427" s="142"/>
      <c r="L427" s="173"/>
      <c r="M427" s="173"/>
      <c r="N427" s="173"/>
      <c r="O427" s="173"/>
      <c r="P427" s="173"/>
      <c r="Q427" s="35"/>
      <c r="R427" s="58"/>
      <c r="S427" s="1"/>
      <c r="T427" s="1"/>
    </row>
    <row r="428" spans="1:20" s="33" customFormat="1" x14ac:dyDescent="0.2">
      <c r="A428" s="110"/>
      <c r="B428" s="111"/>
      <c r="C428" s="168"/>
      <c r="D428" s="169"/>
      <c r="E428" s="128"/>
      <c r="F428" s="129"/>
      <c r="G428" s="130"/>
      <c r="H428" s="138"/>
      <c r="I428" s="182"/>
      <c r="J428" s="182"/>
      <c r="K428" s="142"/>
      <c r="L428" s="173"/>
      <c r="M428" s="173"/>
      <c r="N428" s="173"/>
      <c r="O428" s="173"/>
      <c r="P428" s="173"/>
      <c r="Q428" s="35"/>
      <c r="R428" s="58"/>
      <c r="S428" s="1"/>
      <c r="T428" s="1"/>
    </row>
    <row r="429" spans="1:20" s="33" customFormat="1" x14ac:dyDescent="0.2">
      <c r="A429" s="110"/>
      <c r="B429" s="111"/>
      <c r="C429" s="168"/>
      <c r="D429" s="169"/>
      <c r="E429" s="128"/>
      <c r="F429" s="129"/>
      <c r="G429" s="130"/>
      <c r="H429" s="138"/>
      <c r="I429" s="182"/>
      <c r="J429" s="182"/>
      <c r="K429" s="142"/>
      <c r="L429" s="173"/>
      <c r="M429" s="173"/>
      <c r="N429" s="173"/>
      <c r="O429" s="173"/>
      <c r="P429" s="173"/>
      <c r="Q429" s="35"/>
      <c r="R429" s="58"/>
      <c r="S429" s="1"/>
      <c r="T429" s="1"/>
    </row>
    <row r="430" spans="1:20" s="33" customFormat="1" x14ac:dyDescent="0.2">
      <c r="A430" s="110"/>
      <c r="B430" s="111"/>
      <c r="C430" s="168"/>
      <c r="D430" s="169"/>
      <c r="E430" s="128"/>
      <c r="F430" s="129"/>
      <c r="G430" s="130"/>
      <c r="H430" s="138"/>
      <c r="I430" s="182"/>
      <c r="J430" s="182"/>
      <c r="K430" s="142"/>
      <c r="L430" s="173"/>
      <c r="M430" s="173"/>
      <c r="N430" s="173"/>
      <c r="O430" s="173"/>
      <c r="P430" s="173"/>
      <c r="Q430" s="35"/>
      <c r="R430" s="58"/>
      <c r="S430" s="1"/>
      <c r="T430" s="1"/>
    </row>
    <row r="431" spans="1:20" s="33" customFormat="1" x14ac:dyDescent="0.2">
      <c r="A431" s="110"/>
      <c r="B431" s="111"/>
      <c r="C431" s="168"/>
      <c r="D431" s="169"/>
      <c r="E431" s="128"/>
      <c r="F431" s="129"/>
      <c r="G431" s="130"/>
      <c r="H431" s="138"/>
      <c r="I431" s="182"/>
      <c r="J431" s="182"/>
      <c r="K431" s="142"/>
      <c r="L431" s="173"/>
      <c r="M431" s="173"/>
      <c r="N431" s="173"/>
      <c r="O431" s="173"/>
      <c r="P431" s="173"/>
      <c r="Q431" s="35"/>
      <c r="R431" s="58"/>
      <c r="S431" s="1"/>
      <c r="T431" s="1"/>
    </row>
    <row r="432" spans="1:20" s="33" customFormat="1" x14ac:dyDescent="0.2">
      <c r="A432" s="110"/>
      <c r="B432" s="111"/>
      <c r="C432" s="168"/>
      <c r="D432" s="169"/>
      <c r="E432" s="128"/>
      <c r="F432" s="129"/>
      <c r="G432" s="130"/>
      <c r="H432" s="138"/>
      <c r="I432" s="182"/>
      <c r="J432" s="182"/>
      <c r="K432" s="142"/>
      <c r="L432" s="173"/>
      <c r="M432" s="173"/>
      <c r="N432" s="173"/>
      <c r="O432" s="173"/>
      <c r="P432" s="173"/>
      <c r="Q432" s="35"/>
      <c r="R432" s="58"/>
      <c r="S432" s="1"/>
      <c r="T432" s="1"/>
    </row>
    <row r="433" spans="1:20" s="33" customFormat="1" x14ac:dyDescent="0.2">
      <c r="A433" s="110"/>
      <c r="B433" s="111"/>
      <c r="C433" s="168"/>
      <c r="D433" s="169"/>
      <c r="E433" s="128"/>
      <c r="F433" s="129"/>
      <c r="G433" s="130"/>
      <c r="H433" s="138"/>
      <c r="I433" s="182"/>
      <c r="J433" s="182"/>
      <c r="K433" s="142"/>
      <c r="L433" s="173"/>
      <c r="M433" s="173"/>
      <c r="N433" s="173"/>
      <c r="O433" s="173"/>
      <c r="P433" s="173"/>
      <c r="Q433" s="35"/>
      <c r="R433" s="58"/>
      <c r="S433" s="1"/>
      <c r="T433" s="1"/>
    </row>
    <row r="434" spans="1:20" s="33" customFormat="1" x14ac:dyDescent="0.2">
      <c r="A434" s="110"/>
      <c r="B434" s="111"/>
      <c r="C434" s="168"/>
      <c r="D434" s="169"/>
      <c r="E434" s="128"/>
      <c r="F434" s="129"/>
      <c r="G434" s="130"/>
      <c r="H434" s="138"/>
      <c r="I434" s="182"/>
      <c r="J434" s="182"/>
      <c r="K434" s="142"/>
      <c r="L434" s="173"/>
      <c r="M434" s="173"/>
      <c r="N434" s="173"/>
      <c r="O434" s="173"/>
      <c r="P434" s="173"/>
      <c r="Q434" s="35"/>
      <c r="R434" s="58"/>
      <c r="S434" s="1"/>
      <c r="T434" s="1"/>
    </row>
    <row r="435" spans="1:20" s="33" customFormat="1" x14ac:dyDescent="0.2">
      <c r="A435" s="110"/>
      <c r="B435" s="111"/>
      <c r="C435" s="168"/>
      <c r="D435" s="169"/>
      <c r="E435" s="128"/>
      <c r="F435" s="129"/>
      <c r="G435" s="130"/>
      <c r="H435" s="138"/>
      <c r="I435" s="182"/>
      <c r="J435" s="182"/>
      <c r="K435" s="142"/>
      <c r="L435" s="173"/>
      <c r="M435" s="173"/>
      <c r="N435" s="173"/>
      <c r="O435" s="173"/>
      <c r="P435" s="173"/>
      <c r="Q435" s="35"/>
      <c r="R435" s="58"/>
      <c r="S435" s="1"/>
      <c r="T435" s="1"/>
    </row>
    <row r="436" spans="1:20" s="33" customFormat="1" x14ac:dyDescent="0.2">
      <c r="A436" s="110"/>
      <c r="B436" s="111"/>
      <c r="C436" s="168"/>
      <c r="D436" s="169"/>
      <c r="E436" s="128"/>
      <c r="F436" s="129"/>
      <c r="G436" s="130"/>
      <c r="H436" s="138"/>
      <c r="I436" s="182"/>
      <c r="J436" s="182"/>
      <c r="K436" s="142"/>
      <c r="L436" s="173"/>
      <c r="M436" s="173"/>
      <c r="N436" s="173"/>
      <c r="O436" s="173"/>
      <c r="P436" s="173"/>
      <c r="Q436" s="35"/>
      <c r="R436" s="58"/>
      <c r="S436" s="1"/>
      <c r="T436" s="1"/>
    </row>
    <row r="437" spans="1:20" s="33" customFormat="1" x14ac:dyDescent="0.2">
      <c r="A437" s="110"/>
      <c r="B437" s="111"/>
      <c r="C437" s="168"/>
      <c r="D437" s="169"/>
      <c r="E437" s="128"/>
      <c r="F437" s="129"/>
      <c r="G437" s="130"/>
      <c r="H437" s="138"/>
      <c r="I437" s="182"/>
      <c r="J437" s="182"/>
      <c r="K437" s="142"/>
      <c r="L437" s="173"/>
      <c r="M437" s="173"/>
      <c r="N437" s="173"/>
      <c r="O437" s="173"/>
      <c r="P437" s="173"/>
      <c r="Q437" s="35"/>
      <c r="R437" s="58"/>
      <c r="S437" s="1"/>
      <c r="T437" s="1"/>
    </row>
    <row r="438" spans="1:20" s="33" customFormat="1" x14ac:dyDescent="0.2">
      <c r="A438" s="110"/>
      <c r="B438" s="111"/>
      <c r="C438" s="168"/>
      <c r="D438" s="169"/>
      <c r="E438" s="128"/>
      <c r="F438" s="129"/>
      <c r="G438" s="130"/>
      <c r="H438" s="138"/>
      <c r="I438" s="182"/>
      <c r="J438" s="182"/>
      <c r="K438" s="142"/>
      <c r="L438" s="173"/>
      <c r="M438" s="173"/>
      <c r="N438" s="173"/>
      <c r="O438" s="173"/>
      <c r="P438" s="173"/>
      <c r="Q438" s="35"/>
      <c r="R438" s="58"/>
      <c r="S438" s="1"/>
      <c r="T438" s="1"/>
    </row>
    <row r="439" spans="1:20" s="33" customFormat="1" x14ac:dyDescent="0.2">
      <c r="A439" s="110"/>
      <c r="B439" s="111"/>
      <c r="C439" s="168"/>
      <c r="D439" s="169"/>
      <c r="E439" s="128"/>
      <c r="F439" s="129"/>
      <c r="G439" s="130"/>
      <c r="H439" s="138"/>
      <c r="I439" s="182"/>
      <c r="J439" s="182"/>
      <c r="K439" s="142"/>
      <c r="L439" s="173"/>
      <c r="M439" s="173"/>
      <c r="N439" s="173"/>
      <c r="O439" s="173"/>
      <c r="P439" s="173"/>
      <c r="Q439" s="35"/>
      <c r="R439" s="58"/>
      <c r="S439" s="1"/>
      <c r="T439" s="1"/>
    </row>
    <row r="440" spans="1:20" s="33" customFormat="1" x14ac:dyDescent="0.2">
      <c r="A440" s="110"/>
      <c r="B440" s="111"/>
      <c r="C440" s="168"/>
      <c r="D440" s="169"/>
      <c r="E440" s="128"/>
      <c r="F440" s="129"/>
      <c r="G440" s="130"/>
      <c r="H440" s="138"/>
      <c r="I440" s="182"/>
      <c r="J440" s="182"/>
      <c r="K440" s="142"/>
      <c r="L440" s="173"/>
      <c r="M440" s="173"/>
      <c r="N440" s="173"/>
      <c r="O440" s="173"/>
      <c r="P440" s="173"/>
      <c r="Q440" s="35"/>
      <c r="R440" s="58"/>
      <c r="S440" s="1"/>
      <c r="T440" s="1"/>
    </row>
    <row r="441" spans="1:20" s="33" customFormat="1" x14ac:dyDescent="0.2">
      <c r="A441" s="110"/>
      <c r="B441" s="111"/>
      <c r="C441" s="168"/>
      <c r="D441" s="169"/>
      <c r="E441" s="128"/>
      <c r="F441" s="129"/>
      <c r="G441" s="130"/>
      <c r="H441" s="138"/>
      <c r="I441" s="182"/>
      <c r="J441" s="182"/>
      <c r="K441" s="142"/>
      <c r="L441" s="173"/>
      <c r="M441" s="173"/>
      <c r="N441" s="173"/>
      <c r="O441" s="173"/>
      <c r="P441" s="173"/>
      <c r="Q441" s="35"/>
      <c r="R441" s="58"/>
      <c r="S441" s="1"/>
      <c r="T441" s="1"/>
    </row>
    <row r="442" spans="1:20" s="33" customFormat="1" x14ac:dyDescent="0.2">
      <c r="A442" s="110"/>
      <c r="B442" s="111"/>
      <c r="C442" s="168"/>
      <c r="D442" s="169"/>
      <c r="E442" s="128"/>
      <c r="F442" s="129"/>
      <c r="G442" s="130"/>
      <c r="H442" s="138"/>
      <c r="I442" s="182"/>
      <c r="J442" s="182"/>
      <c r="K442" s="142"/>
      <c r="L442" s="173"/>
      <c r="M442" s="173"/>
      <c r="N442" s="173"/>
      <c r="O442" s="173"/>
      <c r="P442" s="173"/>
      <c r="Q442" s="35"/>
      <c r="R442" s="58"/>
      <c r="S442" s="1"/>
      <c r="T442" s="1"/>
    </row>
    <row r="443" spans="1:20" s="33" customFormat="1" x14ac:dyDescent="0.2">
      <c r="A443" s="110"/>
      <c r="B443" s="111"/>
      <c r="C443" s="168"/>
      <c r="D443" s="169"/>
      <c r="E443" s="128"/>
      <c r="F443" s="129"/>
      <c r="G443" s="130"/>
      <c r="H443" s="138"/>
      <c r="I443" s="182"/>
      <c r="J443" s="182"/>
      <c r="K443" s="142"/>
      <c r="L443" s="173"/>
      <c r="M443" s="173"/>
      <c r="N443" s="173"/>
      <c r="O443" s="173"/>
      <c r="P443" s="173"/>
      <c r="Q443" s="35"/>
      <c r="R443" s="58"/>
      <c r="S443" s="1"/>
      <c r="T443" s="1"/>
    </row>
    <row r="444" spans="1:20" s="33" customFormat="1" x14ac:dyDescent="0.2">
      <c r="A444" s="110"/>
      <c r="B444" s="111"/>
      <c r="C444" s="168"/>
      <c r="D444" s="169"/>
      <c r="E444" s="128"/>
      <c r="F444" s="129"/>
      <c r="G444" s="130"/>
      <c r="H444" s="138"/>
      <c r="I444" s="182"/>
      <c r="J444" s="182"/>
      <c r="K444" s="142"/>
      <c r="L444" s="173"/>
      <c r="M444" s="173"/>
      <c r="N444" s="173"/>
      <c r="O444" s="173"/>
      <c r="P444" s="173"/>
      <c r="Q444" s="35"/>
      <c r="R444" s="58"/>
      <c r="S444" s="1"/>
      <c r="T444" s="1"/>
    </row>
    <row r="445" spans="1:20" s="33" customFormat="1" x14ac:dyDescent="0.2">
      <c r="A445" s="110"/>
      <c r="B445" s="111"/>
      <c r="C445" s="168"/>
      <c r="D445" s="169"/>
      <c r="E445" s="128"/>
      <c r="F445" s="129"/>
      <c r="G445" s="130"/>
      <c r="H445" s="138"/>
      <c r="I445" s="182"/>
      <c r="J445" s="182"/>
      <c r="K445" s="142"/>
      <c r="L445" s="173"/>
      <c r="M445" s="173"/>
      <c r="N445" s="173"/>
      <c r="O445" s="173"/>
      <c r="P445" s="173"/>
      <c r="Q445" s="35"/>
      <c r="R445" s="58"/>
      <c r="S445" s="1"/>
      <c r="T445" s="1"/>
    </row>
    <row r="446" spans="1:20" s="33" customFormat="1" x14ac:dyDescent="0.2">
      <c r="A446" s="110"/>
      <c r="B446" s="111"/>
      <c r="C446" s="168"/>
      <c r="D446" s="169"/>
      <c r="E446" s="128"/>
      <c r="F446" s="129"/>
      <c r="G446" s="130"/>
      <c r="H446" s="138"/>
      <c r="I446" s="182"/>
      <c r="J446" s="182"/>
      <c r="K446" s="142"/>
      <c r="L446" s="173"/>
      <c r="M446" s="173"/>
      <c r="N446" s="173"/>
      <c r="O446" s="173"/>
      <c r="P446" s="173"/>
      <c r="Q446" s="35"/>
      <c r="R446" s="58"/>
      <c r="S446" s="1"/>
      <c r="T446" s="1"/>
    </row>
    <row r="447" spans="1:20" s="33" customFormat="1" x14ac:dyDescent="0.2">
      <c r="A447" s="110"/>
      <c r="B447" s="111"/>
      <c r="C447" s="168"/>
      <c r="D447" s="169"/>
      <c r="E447" s="128"/>
      <c r="F447" s="129"/>
      <c r="G447" s="130"/>
      <c r="H447" s="138"/>
      <c r="I447" s="182"/>
      <c r="J447" s="182"/>
      <c r="K447" s="142"/>
      <c r="L447" s="173"/>
      <c r="M447" s="173"/>
      <c r="N447" s="173"/>
      <c r="O447" s="173"/>
      <c r="P447" s="173"/>
      <c r="Q447" s="35"/>
      <c r="R447" s="58"/>
      <c r="S447" s="1"/>
      <c r="T447" s="1"/>
    </row>
    <row r="448" spans="1:20" s="33" customFormat="1" x14ac:dyDescent="0.2">
      <c r="A448" s="110"/>
      <c r="B448" s="111"/>
      <c r="C448" s="168"/>
      <c r="D448" s="169"/>
      <c r="E448" s="128"/>
      <c r="F448" s="129"/>
      <c r="G448" s="130"/>
      <c r="H448" s="138"/>
      <c r="I448" s="182"/>
      <c r="J448" s="182"/>
      <c r="K448" s="142"/>
      <c r="L448" s="173"/>
      <c r="M448" s="173"/>
      <c r="N448" s="173"/>
      <c r="O448" s="173"/>
      <c r="P448" s="173"/>
      <c r="Q448" s="35"/>
      <c r="R448" s="58"/>
      <c r="S448" s="1"/>
      <c r="T448" s="1"/>
    </row>
    <row r="449" spans="1:20" s="33" customFormat="1" x14ac:dyDescent="0.2">
      <c r="A449" s="110"/>
      <c r="B449" s="111"/>
      <c r="C449" s="168"/>
      <c r="D449" s="169"/>
      <c r="E449" s="128"/>
      <c r="F449" s="129"/>
      <c r="G449" s="130"/>
      <c r="H449" s="138"/>
      <c r="I449" s="182"/>
      <c r="J449" s="182"/>
      <c r="K449" s="142"/>
      <c r="L449" s="173"/>
      <c r="M449" s="173"/>
      <c r="N449" s="173"/>
      <c r="O449" s="173"/>
      <c r="P449" s="173"/>
      <c r="Q449" s="35"/>
      <c r="R449" s="58"/>
      <c r="S449" s="1"/>
      <c r="T449" s="1"/>
    </row>
    <row r="450" spans="1:20" s="33" customFormat="1" x14ac:dyDescent="0.2">
      <c r="A450" s="110"/>
      <c r="B450" s="111"/>
      <c r="C450" s="168"/>
      <c r="D450" s="169"/>
      <c r="E450" s="128"/>
      <c r="F450" s="129"/>
      <c r="G450" s="130"/>
      <c r="H450" s="138"/>
      <c r="I450" s="182"/>
      <c r="J450" s="182"/>
      <c r="K450" s="142"/>
      <c r="L450" s="173"/>
      <c r="M450" s="173"/>
      <c r="N450" s="173"/>
      <c r="O450" s="173"/>
      <c r="P450" s="173"/>
      <c r="Q450" s="35"/>
      <c r="R450" s="58"/>
      <c r="S450" s="1"/>
      <c r="T450" s="1"/>
    </row>
    <row r="451" spans="1:20" s="33" customFormat="1" x14ac:dyDescent="0.2">
      <c r="A451" s="110"/>
      <c r="B451" s="111"/>
      <c r="C451" s="168"/>
      <c r="D451" s="169"/>
      <c r="E451" s="128"/>
      <c r="F451" s="129"/>
      <c r="G451" s="130"/>
      <c r="H451" s="138"/>
      <c r="I451" s="182"/>
      <c r="J451" s="182"/>
      <c r="K451" s="142"/>
      <c r="L451" s="173"/>
      <c r="M451" s="173"/>
      <c r="N451" s="173"/>
      <c r="O451" s="173"/>
      <c r="P451" s="173"/>
      <c r="Q451" s="35"/>
      <c r="R451" s="58"/>
      <c r="S451" s="1"/>
      <c r="T451" s="1"/>
    </row>
    <row r="452" spans="1:20" s="33" customFormat="1" x14ac:dyDescent="0.2">
      <c r="A452" s="110"/>
      <c r="B452" s="111"/>
      <c r="C452" s="168"/>
      <c r="D452" s="169"/>
      <c r="E452" s="128"/>
      <c r="F452" s="129"/>
      <c r="G452" s="130"/>
      <c r="H452" s="138"/>
      <c r="I452" s="182"/>
      <c r="J452" s="182"/>
      <c r="K452" s="142"/>
      <c r="L452" s="173"/>
      <c r="M452" s="173"/>
      <c r="N452" s="173"/>
      <c r="O452" s="173"/>
      <c r="P452" s="173"/>
      <c r="Q452" s="35"/>
      <c r="R452" s="58"/>
      <c r="S452" s="1"/>
      <c r="T452" s="1"/>
    </row>
    <row r="453" spans="1:20" s="33" customFormat="1" x14ac:dyDescent="0.2">
      <c r="A453" s="110"/>
      <c r="B453" s="111"/>
      <c r="C453" s="168"/>
      <c r="D453" s="169"/>
      <c r="E453" s="128"/>
      <c r="F453" s="129"/>
      <c r="G453" s="130"/>
      <c r="H453" s="138"/>
      <c r="I453" s="182"/>
      <c r="J453" s="182"/>
      <c r="K453" s="142"/>
      <c r="L453" s="173"/>
      <c r="M453" s="173"/>
      <c r="N453" s="173"/>
      <c r="O453" s="173"/>
      <c r="P453" s="173"/>
      <c r="Q453" s="35"/>
      <c r="R453" s="58"/>
      <c r="S453" s="1"/>
      <c r="T453" s="1"/>
    </row>
    <row r="454" spans="1:20" s="33" customFormat="1" x14ac:dyDescent="0.2">
      <c r="A454" s="110"/>
      <c r="B454" s="111"/>
      <c r="C454" s="168"/>
      <c r="D454" s="169"/>
      <c r="E454" s="128"/>
      <c r="F454" s="129"/>
      <c r="G454" s="130"/>
      <c r="H454" s="138"/>
      <c r="I454" s="182"/>
      <c r="J454" s="182"/>
      <c r="K454" s="142"/>
      <c r="L454" s="173"/>
      <c r="M454" s="173"/>
      <c r="N454" s="173"/>
      <c r="O454" s="173"/>
      <c r="P454" s="173"/>
      <c r="Q454" s="35"/>
      <c r="R454" s="58"/>
      <c r="S454" s="1"/>
      <c r="T454" s="1"/>
    </row>
    <row r="455" spans="1:20" s="33" customFormat="1" x14ac:dyDescent="0.2">
      <c r="A455" s="110"/>
      <c r="B455" s="111"/>
      <c r="C455" s="168"/>
      <c r="D455" s="169"/>
      <c r="E455" s="128"/>
      <c r="F455" s="129"/>
      <c r="G455" s="130"/>
      <c r="H455" s="138"/>
      <c r="I455" s="182"/>
      <c r="J455" s="182"/>
      <c r="K455" s="142"/>
      <c r="L455" s="173"/>
      <c r="M455" s="173"/>
      <c r="N455" s="173"/>
      <c r="O455" s="173"/>
      <c r="P455" s="173"/>
      <c r="Q455" s="35"/>
      <c r="R455" s="58"/>
      <c r="S455" s="1"/>
      <c r="T455" s="1"/>
    </row>
    <row r="456" spans="1:20" s="33" customFormat="1" x14ac:dyDescent="0.2">
      <c r="A456" s="110"/>
      <c r="B456" s="111"/>
      <c r="C456" s="168"/>
      <c r="D456" s="169"/>
      <c r="E456" s="128"/>
      <c r="F456" s="129"/>
      <c r="G456" s="130"/>
      <c r="H456" s="138"/>
      <c r="I456" s="182"/>
      <c r="J456" s="182"/>
      <c r="K456" s="142"/>
      <c r="L456" s="173"/>
      <c r="M456" s="173"/>
      <c r="N456" s="173"/>
      <c r="O456" s="173"/>
      <c r="P456" s="173"/>
      <c r="Q456" s="35"/>
      <c r="R456" s="58"/>
      <c r="S456" s="1"/>
      <c r="T456" s="1"/>
    </row>
    <row r="457" spans="1:20" s="33" customFormat="1" x14ac:dyDescent="0.2">
      <c r="A457" s="110"/>
      <c r="B457" s="111"/>
      <c r="C457" s="168"/>
      <c r="D457" s="169"/>
      <c r="E457" s="128"/>
      <c r="F457" s="129"/>
      <c r="G457" s="130"/>
      <c r="H457" s="138"/>
      <c r="I457" s="182"/>
      <c r="J457" s="182"/>
      <c r="K457" s="142"/>
      <c r="L457" s="173"/>
      <c r="M457" s="173"/>
      <c r="N457" s="173"/>
      <c r="O457" s="173"/>
      <c r="P457" s="173"/>
      <c r="Q457" s="35"/>
      <c r="R457" s="58"/>
      <c r="S457" s="1"/>
      <c r="T457" s="1"/>
    </row>
    <row r="458" spans="1:20" s="33" customFormat="1" x14ac:dyDescent="0.2">
      <c r="A458" s="110"/>
      <c r="B458" s="111"/>
      <c r="C458" s="168"/>
      <c r="D458" s="169"/>
      <c r="E458" s="128"/>
      <c r="F458" s="129"/>
      <c r="G458" s="130"/>
      <c r="H458" s="138"/>
      <c r="I458" s="182"/>
      <c r="J458" s="182"/>
      <c r="K458" s="142"/>
      <c r="L458" s="173"/>
      <c r="M458" s="173"/>
      <c r="N458" s="173"/>
      <c r="O458" s="173"/>
      <c r="P458" s="173"/>
      <c r="Q458" s="35"/>
      <c r="R458" s="58"/>
      <c r="S458" s="1"/>
      <c r="T458" s="1"/>
    </row>
    <row r="459" spans="1:20" s="33" customFormat="1" x14ac:dyDescent="0.2">
      <c r="A459" s="110"/>
      <c r="B459" s="111"/>
      <c r="C459" s="168"/>
      <c r="D459" s="169"/>
      <c r="E459" s="128"/>
      <c r="F459" s="129"/>
      <c r="G459" s="130"/>
      <c r="H459" s="138"/>
      <c r="I459" s="182"/>
      <c r="J459" s="182"/>
      <c r="K459" s="142"/>
      <c r="L459" s="173"/>
      <c r="M459" s="173"/>
      <c r="N459" s="173"/>
      <c r="O459" s="173"/>
      <c r="P459" s="173"/>
      <c r="Q459" s="35"/>
      <c r="R459" s="58"/>
      <c r="S459" s="1"/>
      <c r="T459" s="1"/>
    </row>
    <row r="460" spans="1:20" s="33" customFormat="1" x14ac:dyDescent="0.2">
      <c r="A460" s="110"/>
      <c r="B460" s="111"/>
      <c r="C460" s="168"/>
      <c r="D460" s="169"/>
      <c r="E460" s="128"/>
      <c r="F460" s="129"/>
      <c r="G460" s="130"/>
      <c r="H460" s="138"/>
      <c r="I460" s="182"/>
      <c r="J460" s="182"/>
      <c r="K460" s="142"/>
      <c r="L460" s="173"/>
      <c r="M460" s="173"/>
      <c r="N460" s="173"/>
      <c r="O460" s="173"/>
      <c r="P460" s="173"/>
      <c r="Q460" s="35"/>
      <c r="R460" s="58"/>
      <c r="S460" s="1"/>
      <c r="T460" s="1"/>
    </row>
    <row r="461" spans="1:20" s="33" customFormat="1" x14ac:dyDescent="0.2">
      <c r="A461" s="110"/>
      <c r="B461" s="111"/>
      <c r="C461" s="168"/>
      <c r="D461" s="169"/>
      <c r="E461" s="128"/>
      <c r="F461" s="129"/>
      <c r="G461" s="130"/>
      <c r="H461" s="138"/>
      <c r="I461" s="182"/>
      <c r="J461" s="182"/>
      <c r="K461" s="142"/>
      <c r="L461" s="173"/>
      <c r="M461" s="173"/>
      <c r="N461" s="173"/>
      <c r="O461" s="173"/>
      <c r="P461" s="173"/>
      <c r="Q461" s="35"/>
      <c r="R461" s="58"/>
      <c r="S461" s="1"/>
      <c r="T461" s="1"/>
    </row>
    <row r="462" spans="1:20" s="33" customFormat="1" x14ac:dyDescent="0.2">
      <c r="A462" s="110"/>
      <c r="B462" s="111"/>
      <c r="C462" s="168"/>
      <c r="D462" s="169"/>
      <c r="E462" s="128"/>
      <c r="F462" s="129"/>
      <c r="G462" s="130"/>
      <c r="H462" s="138"/>
      <c r="I462" s="182"/>
      <c r="J462" s="182"/>
      <c r="K462" s="142"/>
      <c r="L462" s="173"/>
      <c r="M462" s="173"/>
      <c r="N462" s="173"/>
      <c r="O462" s="173"/>
      <c r="P462" s="173"/>
      <c r="Q462" s="35"/>
      <c r="R462" s="58"/>
      <c r="S462" s="1"/>
      <c r="T462" s="1"/>
    </row>
    <row r="463" spans="1:20" s="33" customFormat="1" x14ac:dyDescent="0.2">
      <c r="A463" s="110"/>
      <c r="B463" s="111"/>
      <c r="C463" s="168"/>
      <c r="D463" s="169"/>
      <c r="E463" s="128"/>
      <c r="F463" s="129"/>
      <c r="G463" s="130"/>
      <c r="H463" s="138"/>
      <c r="I463" s="182"/>
      <c r="J463" s="182"/>
      <c r="K463" s="142"/>
      <c r="L463" s="173"/>
      <c r="M463" s="173"/>
      <c r="N463" s="173"/>
      <c r="O463" s="173"/>
      <c r="P463" s="173"/>
      <c r="Q463" s="35"/>
      <c r="R463" s="58"/>
      <c r="S463" s="1"/>
      <c r="T463" s="1"/>
    </row>
    <row r="464" spans="1:20" s="33" customFormat="1" x14ac:dyDescent="0.2">
      <c r="A464" s="110"/>
      <c r="B464" s="111"/>
      <c r="C464" s="168"/>
      <c r="D464" s="169"/>
      <c r="E464" s="128"/>
      <c r="F464" s="129"/>
      <c r="G464" s="130"/>
      <c r="H464" s="138"/>
      <c r="I464" s="182"/>
      <c r="J464" s="182"/>
      <c r="K464" s="142"/>
      <c r="L464" s="173"/>
      <c r="M464" s="173"/>
      <c r="N464" s="173"/>
      <c r="O464" s="173"/>
      <c r="P464" s="173"/>
      <c r="Q464" s="35"/>
      <c r="R464" s="58"/>
      <c r="S464" s="1"/>
      <c r="T464" s="1"/>
    </row>
    <row r="465" spans="1:20" s="33" customFormat="1" x14ac:dyDescent="0.2">
      <c r="A465" s="110"/>
      <c r="B465" s="111"/>
      <c r="C465" s="168"/>
      <c r="D465" s="169"/>
      <c r="E465" s="128"/>
      <c r="F465" s="129"/>
      <c r="G465" s="130"/>
      <c r="H465" s="138"/>
      <c r="I465" s="182"/>
      <c r="J465" s="182"/>
      <c r="K465" s="142"/>
      <c r="L465" s="173"/>
      <c r="M465" s="173"/>
      <c r="N465" s="173"/>
      <c r="O465" s="173"/>
      <c r="P465" s="173"/>
      <c r="Q465" s="35"/>
      <c r="R465" s="58"/>
      <c r="S465" s="1"/>
      <c r="T465" s="1"/>
    </row>
    <row r="466" spans="1:20" s="33" customFormat="1" x14ac:dyDescent="0.2">
      <c r="A466" s="110"/>
      <c r="B466" s="111"/>
      <c r="C466" s="168"/>
      <c r="D466" s="169"/>
      <c r="E466" s="128"/>
      <c r="F466" s="129"/>
      <c r="G466" s="130"/>
      <c r="H466" s="138"/>
      <c r="I466" s="182"/>
      <c r="J466" s="182"/>
      <c r="K466" s="142"/>
      <c r="L466" s="173"/>
      <c r="M466" s="173"/>
      <c r="N466" s="173"/>
      <c r="O466" s="173"/>
      <c r="P466" s="173"/>
      <c r="Q466" s="35"/>
      <c r="R466" s="58"/>
      <c r="S466" s="1"/>
      <c r="T466" s="1"/>
    </row>
    <row r="467" spans="1:20" s="33" customFormat="1" x14ac:dyDescent="0.2">
      <c r="A467" s="110"/>
      <c r="B467" s="111"/>
      <c r="C467" s="168"/>
      <c r="D467" s="169"/>
      <c r="E467" s="128"/>
      <c r="F467" s="129"/>
      <c r="G467" s="130"/>
      <c r="H467" s="138"/>
      <c r="I467" s="182"/>
      <c r="J467" s="182"/>
      <c r="K467" s="142"/>
      <c r="L467" s="173"/>
      <c r="M467" s="173"/>
      <c r="N467" s="173"/>
      <c r="O467" s="173"/>
      <c r="P467" s="173"/>
      <c r="Q467" s="35"/>
      <c r="R467" s="58"/>
      <c r="S467" s="1"/>
      <c r="T467" s="1"/>
    </row>
    <row r="468" spans="1:20" s="33" customFormat="1" x14ac:dyDescent="0.2">
      <c r="A468" s="110"/>
      <c r="B468" s="111"/>
      <c r="C468" s="168"/>
      <c r="D468" s="169"/>
      <c r="E468" s="128"/>
      <c r="F468" s="129"/>
      <c r="G468" s="130"/>
      <c r="H468" s="138"/>
      <c r="I468" s="182"/>
      <c r="J468" s="182"/>
      <c r="K468" s="142"/>
      <c r="L468" s="173"/>
      <c r="M468" s="173"/>
      <c r="N468" s="173"/>
      <c r="O468" s="173"/>
      <c r="P468" s="173"/>
      <c r="Q468" s="35"/>
      <c r="R468" s="58"/>
      <c r="S468" s="1"/>
      <c r="T468" s="1"/>
    </row>
    <row r="469" spans="1:20" s="33" customFormat="1" x14ac:dyDescent="0.2">
      <c r="A469" s="110"/>
      <c r="B469" s="111"/>
      <c r="C469" s="168"/>
      <c r="D469" s="169"/>
      <c r="E469" s="128"/>
      <c r="F469" s="129"/>
      <c r="G469" s="130"/>
      <c r="H469" s="138"/>
      <c r="I469" s="182"/>
      <c r="J469" s="182"/>
      <c r="K469" s="142"/>
      <c r="L469" s="173"/>
      <c r="M469" s="173"/>
      <c r="N469" s="173"/>
      <c r="O469" s="173"/>
      <c r="P469" s="173"/>
      <c r="Q469" s="35"/>
      <c r="R469" s="58"/>
      <c r="S469" s="1"/>
      <c r="T469" s="1"/>
    </row>
    <row r="470" spans="1:20" s="33" customFormat="1" x14ac:dyDescent="0.2">
      <c r="A470" s="110"/>
      <c r="B470" s="111"/>
      <c r="C470" s="168"/>
      <c r="D470" s="169"/>
      <c r="E470" s="128"/>
      <c r="F470" s="129"/>
      <c r="G470" s="130"/>
      <c r="H470" s="138"/>
      <c r="I470" s="182"/>
      <c r="J470" s="182"/>
      <c r="K470" s="142"/>
      <c r="L470" s="173"/>
      <c r="M470" s="173"/>
      <c r="N470" s="173"/>
      <c r="O470" s="173"/>
      <c r="P470" s="173"/>
      <c r="Q470" s="35"/>
      <c r="R470" s="58"/>
      <c r="S470" s="1"/>
      <c r="T470" s="1"/>
    </row>
    <row r="471" spans="1:20" s="33" customFormat="1" x14ac:dyDescent="0.2">
      <c r="A471" s="110"/>
      <c r="B471" s="111"/>
      <c r="C471" s="168"/>
      <c r="D471" s="169"/>
      <c r="E471" s="128"/>
      <c r="F471" s="129"/>
      <c r="G471" s="130"/>
      <c r="H471" s="138"/>
      <c r="I471" s="182"/>
      <c r="J471" s="182"/>
      <c r="K471" s="142"/>
      <c r="L471" s="173"/>
      <c r="M471" s="173"/>
      <c r="N471" s="173"/>
      <c r="O471" s="173"/>
      <c r="P471" s="173"/>
      <c r="Q471" s="35"/>
      <c r="R471" s="58"/>
      <c r="S471" s="1"/>
      <c r="T471" s="1"/>
    </row>
    <row r="472" spans="1:20" s="33" customFormat="1" x14ac:dyDescent="0.2">
      <c r="A472" s="110"/>
      <c r="B472" s="111"/>
      <c r="C472" s="168"/>
      <c r="D472" s="169"/>
      <c r="E472" s="128"/>
      <c r="F472" s="129"/>
      <c r="G472" s="130"/>
      <c r="H472" s="138"/>
      <c r="I472" s="182"/>
      <c r="J472" s="182"/>
      <c r="K472" s="142"/>
      <c r="L472" s="173"/>
      <c r="M472" s="173"/>
      <c r="N472" s="173"/>
      <c r="O472" s="173"/>
      <c r="P472" s="173"/>
      <c r="Q472" s="35"/>
      <c r="R472" s="58"/>
      <c r="S472" s="1"/>
      <c r="T472" s="1"/>
    </row>
    <row r="473" spans="1:20" s="33" customFormat="1" x14ac:dyDescent="0.2">
      <c r="A473" s="110"/>
      <c r="B473" s="111"/>
      <c r="C473" s="168"/>
      <c r="D473" s="169"/>
      <c r="E473" s="128"/>
      <c r="F473" s="129"/>
      <c r="G473" s="130"/>
      <c r="H473" s="138"/>
      <c r="I473" s="182"/>
      <c r="J473" s="182"/>
      <c r="K473" s="142"/>
      <c r="L473" s="173"/>
      <c r="M473" s="173"/>
      <c r="N473" s="173"/>
      <c r="O473" s="173"/>
      <c r="P473" s="173"/>
      <c r="Q473" s="35"/>
      <c r="R473" s="58"/>
      <c r="S473" s="1"/>
      <c r="T473" s="1"/>
    </row>
    <row r="474" spans="1:20" s="33" customFormat="1" x14ac:dyDescent="0.2">
      <c r="A474" s="110"/>
      <c r="B474" s="111"/>
      <c r="C474" s="168"/>
      <c r="D474" s="169"/>
      <c r="E474" s="128"/>
      <c r="F474" s="129"/>
      <c r="G474" s="130"/>
      <c r="H474" s="138"/>
      <c r="I474" s="182"/>
      <c r="J474" s="182"/>
      <c r="K474" s="142"/>
      <c r="L474" s="173"/>
      <c r="M474" s="173"/>
      <c r="N474" s="173"/>
      <c r="O474" s="173"/>
      <c r="P474" s="173"/>
      <c r="Q474" s="35"/>
      <c r="R474" s="58"/>
      <c r="S474" s="1"/>
      <c r="T474" s="1"/>
    </row>
    <row r="475" spans="1:20" s="33" customFormat="1" x14ac:dyDescent="0.2">
      <c r="A475" s="110"/>
      <c r="B475" s="111"/>
      <c r="C475" s="168"/>
      <c r="D475" s="169"/>
      <c r="E475" s="128"/>
      <c r="F475" s="129"/>
      <c r="G475" s="130"/>
      <c r="H475" s="138"/>
      <c r="I475" s="182"/>
      <c r="J475" s="182"/>
      <c r="K475" s="142"/>
      <c r="L475" s="173"/>
      <c r="M475" s="173"/>
      <c r="N475" s="173"/>
      <c r="O475" s="173"/>
      <c r="P475" s="173"/>
      <c r="Q475" s="35"/>
      <c r="R475" s="58"/>
      <c r="S475" s="1"/>
      <c r="T475" s="1"/>
    </row>
    <row r="476" spans="1:20" s="33" customFormat="1" x14ac:dyDescent="0.2">
      <c r="A476" s="110"/>
      <c r="B476" s="111"/>
      <c r="C476" s="168"/>
      <c r="D476" s="169"/>
      <c r="E476" s="128"/>
      <c r="F476" s="129"/>
      <c r="G476" s="130"/>
      <c r="H476" s="138"/>
      <c r="I476" s="182"/>
      <c r="J476" s="182"/>
      <c r="K476" s="142"/>
      <c r="L476" s="173"/>
      <c r="M476" s="173"/>
      <c r="N476" s="173"/>
      <c r="O476" s="173"/>
      <c r="P476" s="173"/>
      <c r="Q476" s="35"/>
      <c r="R476" s="58"/>
      <c r="S476" s="1"/>
      <c r="T476" s="1"/>
    </row>
    <row r="477" spans="1:20" s="33" customFormat="1" x14ac:dyDescent="0.2">
      <c r="A477" s="110"/>
      <c r="B477" s="111"/>
      <c r="C477" s="168"/>
      <c r="D477" s="169"/>
      <c r="E477" s="128"/>
      <c r="F477" s="129"/>
      <c r="G477" s="130"/>
      <c r="H477" s="138"/>
      <c r="I477" s="182"/>
      <c r="J477" s="182"/>
      <c r="K477" s="142"/>
      <c r="L477" s="173"/>
      <c r="M477" s="173"/>
      <c r="N477" s="173"/>
      <c r="O477" s="173"/>
      <c r="P477" s="173"/>
      <c r="Q477" s="35"/>
      <c r="R477" s="58"/>
      <c r="S477" s="1"/>
      <c r="T477" s="1"/>
    </row>
    <row r="478" spans="1:20" s="33" customFormat="1" x14ac:dyDescent="0.2">
      <c r="A478" s="110"/>
      <c r="B478" s="111"/>
      <c r="C478" s="168"/>
      <c r="D478" s="169"/>
      <c r="E478" s="128"/>
      <c r="F478" s="129"/>
      <c r="G478" s="130"/>
      <c r="H478" s="138"/>
      <c r="I478" s="182"/>
      <c r="J478" s="182"/>
      <c r="K478" s="142"/>
      <c r="L478" s="173"/>
      <c r="M478" s="173"/>
      <c r="N478" s="173"/>
      <c r="O478" s="173"/>
      <c r="P478" s="173"/>
      <c r="Q478" s="35"/>
      <c r="R478" s="58"/>
      <c r="S478" s="1"/>
      <c r="T478" s="1"/>
    </row>
    <row r="479" spans="1:20" s="33" customFormat="1" x14ac:dyDescent="0.2">
      <c r="A479" s="110"/>
      <c r="B479" s="111"/>
      <c r="C479" s="168"/>
      <c r="D479" s="169"/>
      <c r="E479" s="128"/>
      <c r="F479" s="129"/>
      <c r="G479" s="130"/>
      <c r="H479" s="138"/>
      <c r="I479" s="182"/>
      <c r="J479" s="182"/>
      <c r="K479" s="142"/>
      <c r="L479" s="173"/>
      <c r="M479" s="173"/>
      <c r="N479" s="173"/>
      <c r="O479" s="173"/>
      <c r="P479" s="173"/>
      <c r="Q479" s="35"/>
      <c r="R479" s="58"/>
      <c r="S479" s="1"/>
      <c r="T479" s="1"/>
    </row>
    <row r="480" spans="1:20" s="33" customFormat="1" x14ac:dyDescent="0.2">
      <c r="A480" s="110"/>
      <c r="B480" s="111"/>
      <c r="C480" s="168"/>
      <c r="D480" s="169"/>
      <c r="E480" s="128"/>
      <c r="F480" s="129"/>
      <c r="G480" s="130"/>
      <c r="H480" s="138"/>
      <c r="I480" s="182"/>
      <c r="J480" s="182"/>
      <c r="K480" s="142"/>
      <c r="L480" s="173"/>
      <c r="M480" s="173"/>
      <c r="N480" s="173"/>
      <c r="O480" s="173"/>
      <c r="P480" s="173"/>
      <c r="Q480" s="35"/>
      <c r="R480" s="58"/>
      <c r="S480" s="1"/>
      <c r="T480" s="1"/>
    </row>
    <row r="481" spans="1:20" s="33" customFormat="1" x14ac:dyDescent="0.2">
      <c r="A481" s="110"/>
      <c r="B481" s="111"/>
      <c r="C481" s="168"/>
      <c r="D481" s="169"/>
      <c r="E481" s="128"/>
      <c r="F481" s="129"/>
      <c r="G481" s="130"/>
      <c r="H481" s="138"/>
      <c r="I481" s="182"/>
      <c r="J481" s="182"/>
      <c r="K481" s="142"/>
      <c r="L481" s="173"/>
      <c r="M481" s="173"/>
      <c r="N481" s="173"/>
      <c r="O481" s="173"/>
      <c r="P481" s="173"/>
      <c r="Q481" s="35"/>
      <c r="R481" s="58"/>
      <c r="S481" s="1"/>
      <c r="T481" s="1"/>
    </row>
    <row r="482" spans="1:20" s="33" customFormat="1" x14ac:dyDescent="0.2">
      <c r="A482" s="110"/>
      <c r="B482" s="111"/>
      <c r="C482" s="168"/>
      <c r="D482" s="169"/>
      <c r="E482" s="128"/>
      <c r="F482" s="129"/>
      <c r="G482" s="130"/>
      <c r="H482" s="138"/>
      <c r="I482" s="182"/>
      <c r="J482" s="182"/>
      <c r="K482" s="142"/>
      <c r="L482" s="173"/>
      <c r="M482" s="173"/>
      <c r="N482" s="173"/>
      <c r="O482" s="173"/>
      <c r="P482" s="173"/>
      <c r="Q482" s="35"/>
      <c r="R482" s="58"/>
      <c r="S482" s="1"/>
      <c r="T482" s="1"/>
    </row>
    <row r="483" spans="1:20" s="33" customFormat="1" x14ac:dyDescent="0.2">
      <c r="A483" s="110"/>
      <c r="B483" s="111"/>
      <c r="C483" s="168"/>
      <c r="D483" s="169"/>
      <c r="E483" s="128"/>
      <c r="F483" s="129"/>
      <c r="G483" s="130"/>
      <c r="H483" s="138"/>
      <c r="I483" s="182"/>
      <c r="J483" s="182"/>
      <c r="K483" s="142"/>
      <c r="L483" s="173"/>
      <c r="M483" s="173"/>
      <c r="N483" s="173"/>
      <c r="O483" s="173"/>
      <c r="P483" s="173"/>
      <c r="Q483" s="35"/>
      <c r="R483" s="58"/>
      <c r="S483" s="1"/>
      <c r="T483" s="1"/>
    </row>
    <row r="484" spans="1:20" s="33" customFormat="1" x14ac:dyDescent="0.2">
      <c r="A484" s="110"/>
      <c r="B484" s="111"/>
      <c r="C484" s="168"/>
      <c r="D484" s="169"/>
      <c r="E484" s="128"/>
      <c r="F484" s="129"/>
      <c r="G484" s="130"/>
      <c r="H484" s="138"/>
      <c r="I484" s="182"/>
      <c r="J484" s="182"/>
      <c r="K484" s="142"/>
      <c r="L484" s="173"/>
      <c r="M484" s="173"/>
      <c r="N484" s="173"/>
      <c r="O484" s="173"/>
      <c r="P484" s="173"/>
      <c r="Q484" s="35"/>
      <c r="R484" s="58"/>
      <c r="S484" s="1"/>
      <c r="T484" s="1"/>
    </row>
    <row r="485" spans="1:20" s="33" customFormat="1" x14ac:dyDescent="0.2">
      <c r="A485" s="110"/>
      <c r="B485" s="111"/>
      <c r="C485" s="168"/>
      <c r="D485" s="169"/>
      <c r="E485" s="128"/>
      <c r="F485" s="129"/>
      <c r="G485" s="130"/>
      <c r="H485" s="138"/>
      <c r="I485" s="182"/>
      <c r="J485" s="182"/>
      <c r="K485" s="142"/>
      <c r="L485" s="173"/>
      <c r="M485" s="173"/>
      <c r="N485" s="173"/>
      <c r="O485" s="173"/>
      <c r="P485" s="173"/>
      <c r="Q485" s="35"/>
      <c r="R485" s="58"/>
      <c r="S485" s="1"/>
      <c r="T485" s="1"/>
    </row>
    <row r="486" spans="1:20" s="33" customFormat="1" x14ac:dyDescent="0.2">
      <c r="A486" s="110"/>
      <c r="B486" s="111"/>
      <c r="C486" s="168"/>
      <c r="D486" s="169"/>
      <c r="E486" s="128"/>
      <c r="F486" s="129"/>
      <c r="G486" s="130"/>
      <c r="H486" s="138"/>
      <c r="I486" s="182"/>
      <c r="J486" s="182"/>
      <c r="K486" s="142"/>
      <c r="L486" s="173"/>
      <c r="M486" s="173"/>
      <c r="N486" s="173"/>
      <c r="O486" s="173"/>
      <c r="P486" s="173"/>
      <c r="Q486" s="35"/>
      <c r="R486" s="58"/>
      <c r="S486" s="1"/>
      <c r="T486" s="1"/>
    </row>
    <row r="487" spans="1:20" s="33" customFormat="1" x14ac:dyDescent="0.2">
      <c r="A487" s="110"/>
      <c r="B487" s="111"/>
      <c r="C487" s="168"/>
      <c r="D487" s="169"/>
      <c r="E487" s="128"/>
      <c r="F487" s="129"/>
      <c r="G487" s="130"/>
      <c r="H487" s="138"/>
      <c r="I487" s="182"/>
      <c r="J487" s="182"/>
      <c r="K487" s="142"/>
      <c r="L487" s="173"/>
      <c r="M487" s="173"/>
      <c r="N487" s="173"/>
      <c r="O487" s="173"/>
      <c r="P487" s="173"/>
      <c r="Q487" s="35"/>
      <c r="R487" s="58"/>
      <c r="S487" s="1"/>
      <c r="T487" s="1"/>
    </row>
    <row r="488" spans="1:20" s="33" customFormat="1" x14ac:dyDescent="0.2">
      <c r="A488" s="110"/>
      <c r="B488" s="111"/>
      <c r="C488" s="168"/>
      <c r="D488" s="169"/>
      <c r="E488" s="128"/>
      <c r="F488" s="129"/>
      <c r="G488" s="130"/>
      <c r="H488" s="138"/>
      <c r="I488" s="182"/>
      <c r="J488" s="182"/>
      <c r="K488" s="142"/>
      <c r="L488" s="173"/>
      <c r="M488" s="173"/>
      <c r="N488" s="173"/>
      <c r="O488" s="173"/>
      <c r="P488" s="173"/>
      <c r="Q488" s="35"/>
      <c r="R488" s="58"/>
      <c r="S488" s="1"/>
      <c r="T488" s="1"/>
    </row>
    <row r="489" spans="1:20" s="33" customFormat="1" x14ac:dyDescent="0.2">
      <c r="A489" s="110"/>
      <c r="B489" s="111"/>
      <c r="C489" s="168"/>
      <c r="D489" s="169"/>
      <c r="E489" s="128"/>
      <c r="F489" s="129"/>
      <c r="G489" s="130"/>
      <c r="H489" s="138"/>
      <c r="I489" s="182"/>
      <c r="J489" s="182"/>
      <c r="K489" s="142"/>
      <c r="L489" s="173"/>
      <c r="M489" s="173"/>
      <c r="N489" s="173"/>
      <c r="O489" s="173"/>
      <c r="P489" s="173"/>
      <c r="Q489" s="35"/>
      <c r="R489" s="58"/>
      <c r="S489" s="1"/>
      <c r="T489" s="1"/>
    </row>
    <row r="490" spans="1:20" s="33" customFormat="1" x14ac:dyDescent="0.2">
      <c r="A490" s="110"/>
      <c r="B490" s="111"/>
      <c r="C490" s="168"/>
      <c r="D490" s="169"/>
      <c r="E490" s="128"/>
      <c r="F490" s="129"/>
      <c r="G490" s="130"/>
      <c r="H490" s="138"/>
      <c r="I490" s="182"/>
      <c r="J490" s="182"/>
      <c r="K490" s="142"/>
      <c r="L490" s="173"/>
      <c r="M490" s="173"/>
      <c r="N490" s="173"/>
      <c r="O490" s="173"/>
      <c r="P490" s="173"/>
      <c r="Q490" s="35"/>
      <c r="R490" s="58"/>
      <c r="S490" s="1"/>
      <c r="T490" s="1"/>
    </row>
    <row r="491" spans="1:20" s="33" customFormat="1" x14ac:dyDescent="0.2">
      <c r="A491" s="110"/>
      <c r="B491" s="111"/>
      <c r="C491" s="168"/>
      <c r="D491" s="169"/>
      <c r="E491" s="128"/>
      <c r="F491" s="129"/>
      <c r="G491" s="130"/>
      <c r="H491" s="138"/>
      <c r="I491" s="182"/>
      <c r="J491" s="182"/>
      <c r="K491" s="142"/>
      <c r="L491" s="173"/>
      <c r="M491" s="173"/>
      <c r="N491" s="173"/>
      <c r="O491" s="173"/>
      <c r="P491" s="173"/>
      <c r="Q491" s="35"/>
      <c r="R491" s="58"/>
      <c r="S491" s="1"/>
      <c r="T491" s="1"/>
    </row>
    <row r="492" spans="1:20" s="33" customFormat="1" x14ac:dyDescent="0.2">
      <c r="A492" s="110"/>
      <c r="B492" s="111"/>
      <c r="C492" s="168"/>
      <c r="D492" s="169"/>
      <c r="E492" s="128"/>
      <c r="F492" s="129"/>
      <c r="G492" s="130"/>
      <c r="H492" s="138"/>
      <c r="I492" s="182"/>
      <c r="J492" s="182"/>
      <c r="K492" s="142"/>
      <c r="L492" s="173"/>
      <c r="M492" s="173"/>
      <c r="N492" s="173"/>
      <c r="O492" s="173"/>
      <c r="P492" s="173"/>
      <c r="Q492" s="35"/>
      <c r="R492" s="58"/>
      <c r="S492" s="1"/>
      <c r="T492" s="1"/>
    </row>
    <row r="493" spans="1:20" s="33" customFormat="1" x14ac:dyDescent="0.2">
      <c r="A493" s="110"/>
      <c r="B493" s="111"/>
      <c r="C493" s="168"/>
      <c r="D493" s="169"/>
      <c r="E493" s="128"/>
      <c r="F493" s="129"/>
      <c r="G493" s="130"/>
      <c r="H493" s="138"/>
      <c r="I493" s="182"/>
      <c r="J493" s="182"/>
      <c r="K493" s="142"/>
      <c r="L493" s="173"/>
      <c r="M493" s="173"/>
      <c r="N493" s="173"/>
      <c r="O493" s="173"/>
      <c r="P493" s="173"/>
      <c r="Q493" s="35"/>
      <c r="R493" s="58"/>
      <c r="S493" s="1"/>
      <c r="T493" s="1"/>
    </row>
    <row r="494" spans="1:20" s="33" customFormat="1" x14ac:dyDescent="0.2">
      <c r="A494" s="110"/>
      <c r="B494" s="111"/>
      <c r="C494" s="168"/>
      <c r="D494" s="169"/>
      <c r="E494" s="128"/>
      <c r="F494" s="129"/>
      <c r="G494" s="130"/>
      <c r="H494" s="138"/>
      <c r="I494" s="182"/>
      <c r="J494" s="182"/>
      <c r="K494" s="142"/>
      <c r="L494" s="173"/>
      <c r="M494" s="173"/>
      <c r="N494" s="173"/>
      <c r="O494" s="173"/>
      <c r="P494" s="173"/>
      <c r="Q494" s="35"/>
      <c r="R494" s="58"/>
      <c r="S494" s="1"/>
      <c r="T494" s="1"/>
    </row>
    <row r="495" spans="1:20" s="33" customFormat="1" x14ac:dyDescent="0.2">
      <c r="A495" s="110"/>
      <c r="B495" s="111"/>
      <c r="C495" s="168"/>
      <c r="D495" s="169"/>
      <c r="E495" s="128"/>
      <c r="F495" s="129"/>
      <c r="G495" s="130"/>
      <c r="H495" s="138"/>
      <c r="I495" s="182"/>
      <c r="J495" s="182"/>
      <c r="K495" s="142"/>
      <c r="L495" s="173"/>
      <c r="M495" s="173"/>
      <c r="N495" s="173"/>
      <c r="O495" s="173"/>
      <c r="P495" s="173"/>
      <c r="Q495" s="35"/>
      <c r="R495" s="58"/>
      <c r="S495" s="1"/>
      <c r="T495" s="1"/>
    </row>
    <row r="496" spans="1:20" s="33" customFormat="1" x14ac:dyDescent="0.2">
      <c r="A496" s="110"/>
      <c r="B496" s="111"/>
      <c r="C496" s="168"/>
      <c r="D496" s="169"/>
      <c r="E496" s="128"/>
      <c r="F496" s="129"/>
      <c r="G496" s="130"/>
      <c r="H496" s="138"/>
      <c r="I496" s="182"/>
      <c r="J496" s="182"/>
      <c r="K496" s="142"/>
      <c r="L496" s="173"/>
      <c r="M496" s="173"/>
      <c r="N496" s="173"/>
      <c r="O496" s="173"/>
      <c r="P496" s="173"/>
      <c r="Q496" s="35"/>
      <c r="R496" s="58"/>
      <c r="S496" s="1"/>
      <c r="T496" s="1"/>
    </row>
    <row r="497" spans="1:20" s="33" customFormat="1" x14ac:dyDescent="0.2">
      <c r="A497" s="110"/>
      <c r="B497" s="111"/>
      <c r="C497" s="168"/>
      <c r="D497" s="169"/>
      <c r="E497" s="128"/>
      <c r="F497" s="129"/>
      <c r="G497" s="130"/>
      <c r="H497" s="138"/>
      <c r="I497" s="182"/>
      <c r="J497" s="182"/>
      <c r="K497" s="142"/>
      <c r="L497" s="173"/>
      <c r="M497" s="173"/>
      <c r="N497" s="173"/>
      <c r="O497" s="173"/>
      <c r="P497" s="173"/>
      <c r="Q497" s="35"/>
      <c r="R497" s="58"/>
      <c r="S497" s="1"/>
      <c r="T497" s="1"/>
    </row>
    <row r="498" spans="1:20" s="33" customFormat="1" x14ac:dyDescent="0.2">
      <c r="A498" s="110"/>
      <c r="B498" s="111"/>
      <c r="C498" s="168"/>
      <c r="D498" s="169"/>
      <c r="E498" s="128"/>
      <c r="F498" s="129"/>
      <c r="G498" s="130"/>
      <c r="H498" s="138"/>
      <c r="I498" s="182"/>
      <c r="J498" s="182"/>
      <c r="K498" s="142"/>
      <c r="L498" s="173"/>
      <c r="M498" s="173"/>
      <c r="N498" s="173"/>
      <c r="O498" s="173"/>
      <c r="P498" s="173"/>
      <c r="Q498" s="35"/>
      <c r="R498" s="58"/>
      <c r="S498" s="1"/>
      <c r="T498" s="1"/>
    </row>
    <row r="499" spans="1:20" s="33" customFormat="1" x14ac:dyDescent="0.2">
      <c r="A499" s="112"/>
      <c r="B499" s="113"/>
      <c r="C499" s="168"/>
      <c r="D499" s="169"/>
      <c r="E499" s="131"/>
      <c r="F499" s="132"/>
      <c r="G499" s="133"/>
      <c r="H499" s="139"/>
      <c r="I499" s="186"/>
      <c r="J499" s="186"/>
      <c r="K499" s="143"/>
      <c r="L499" s="173"/>
      <c r="M499" s="173"/>
      <c r="N499" s="173"/>
      <c r="O499" s="173"/>
      <c r="P499" s="173"/>
      <c r="Q499" s="35"/>
      <c r="R499" s="58"/>
      <c r="S499" s="1"/>
      <c r="T499" s="1"/>
    </row>
    <row r="500" spans="1:20" s="33" customFormat="1" ht="13.5" thickBot="1" x14ac:dyDescent="0.25">
      <c r="A500" s="114"/>
      <c r="B500" s="115"/>
      <c r="C500" s="168"/>
      <c r="D500" s="169"/>
      <c r="E500" s="134"/>
      <c r="F500" s="135"/>
      <c r="G500" s="136"/>
      <c r="H500" s="140"/>
      <c r="I500" s="185"/>
      <c r="J500" s="185"/>
      <c r="K500" s="144"/>
      <c r="L500" s="183"/>
      <c r="M500" s="183"/>
      <c r="N500" s="183"/>
      <c r="O500" s="183"/>
      <c r="P500" s="183"/>
      <c r="Q500" s="99"/>
      <c r="R500" s="62"/>
      <c r="S500" s="1"/>
      <c r="T500" s="1"/>
    </row>
    <row r="501" spans="1:20" s="1" customFormat="1" x14ac:dyDescent="0.2"/>
    <row r="502" spans="1:20" s="1" customFormat="1" x14ac:dyDescent="0.2"/>
    <row r="503" spans="1:20" s="1" customFormat="1" x14ac:dyDescent="0.2"/>
    <row r="504" spans="1:20" s="1" customFormat="1" x14ac:dyDescent="0.2"/>
    <row r="505" spans="1:20" s="1" customFormat="1" x14ac:dyDescent="0.2"/>
    <row r="506" spans="1:20" s="1" customFormat="1" x14ac:dyDescent="0.2"/>
    <row r="507" spans="1:20" s="1" customFormat="1" x14ac:dyDescent="0.2"/>
    <row r="508" spans="1:20" s="1" customFormat="1" x14ac:dyDescent="0.2"/>
    <row r="509" spans="1:20" s="1" customFormat="1" x14ac:dyDescent="0.2"/>
    <row r="510" spans="1:20" s="1" customFormat="1" x14ac:dyDescent="0.2"/>
    <row r="511" spans="1:20" s="1" customFormat="1" x14ac:dyDescent="0.2"/>
    <row r="512" spans="1:20" s="1" customFormat="1" x14ac:dyDescent="0.2"/>
    <row r="513" s="1" customFormat="1" x14ac:dyDescent="0.2"/>
    <row r="514" s="1" customFormat="1" x14ac:dyDescent="0.2"/>
    <row r="515" s="1" customFormat="1" x14ac:dyDescent="0.2"/>
    <row r="516" s="1" customFormat="1" x14ac:dyDescent="0.2"/>
    <row r="517" s="1" customFormat="1" x14ac:dyDescent="0.2"/>
    <row r="518" s="1" customFormat="1" x14ac:dyDescent="0.2"/>
    <row r="519" s="1" customFormat="1" x14ac:dyDescent="0.2"/>
    <row r="520" s="1" customFormat="1" x14ac:dyDescent="0.2"/>
    <row r="521" s="1" customFormat="1" x14ac:dyDescent="0.2"/>
    <row r="522" s="1" customFormat="1" x14ac:dyDescent="0.2"/>
    <row r="523" s="1" customFormat="1" x14ac:dyDescent="0.2"/>
    <row r="524" s="1" customFormat="1" x14ac:dyDescent="0.2"/>
    <row r="525" s="1" customFormat="1" x14ac:dyDescent="0.2"/>
    <row r="526" s="1" customFormat="1" x14ac:dyDescent="0.2"/>
    <row r="527" s="1" customFormat="1" x14ac:dyDescent="0.2"/>
    <row r="528" s="1" customFormat="1" x14ac:dyDescent="0.2"/>
    <row r="529" s="1" customFormat="1" x14ac:dyDescent="0.2"/>
    <row r="530" s="1" customFormat="1" x14ac:dyDescent="0.2"/>
    <row r="531" s="1" customFormat="1" x14ac:dyDescent="0.2"/>
    <row r="532" s="1" customFormat="1" x14ac:dyDescent="0.2"/>
    <row r="533" s="1" customFormat="1" x14ac:dyDescent="0.2"/>
    <row r="534" s="1" customFormat="1" x14ac:dyDescent="0.2"/>
    <row r="535" s="1" customFormat="1" x14ac:dyDescent="0.2"/>
    <row r="536" s="1" customFormat="1" x14ac:dyDescent="0.2"/>
    <row r="537" s="1" customFormat="1" x14ac:dyDescent="0.2"/>
    <row r="538" s="1" customFormat="1" x14ac:dyDescent="0.2"/>
    <row r="539" s="1" customFormat="1" x14ac:dyDescent="0.2"/>
    <row r="540" s="1" customFormat="1" x14ac:dyDescent="0.2"/>
    <row r="541" s="1" customFormat="1" x14ac:dyDescent="0.2"/>
    <row r="542" s="1" customFormat="1" x14ac:dyDescent="0.2"/>
    <row r="543" s="1" customFormat="1" x14ac:dyDescent="0.2"/>
    <row r="544" s="1" customFormat="1" x14ac:dyDescent="0.2"/>
    <row r="545" s="1" customFormat="1" x14ac:dyDescent="0.2"/>
    <row r="546" s="1" customFormat="1" x14ac:dyDescent="0.2"/>
    <row r="547" s="1" customFormat="1" x14ac:dyDescent="0.2"/>
    <row r="548" s="1" customFormat="1" x14ac:dyDescent="0.2"/>
    <row r="549" s="1" customFormat="1" x14ac:dyDescent="0.2"/>
    <row r="550" s="1" customFormat="1" x14ac:dyDescent="0.2"/>
    <row r="551" s="1" customFormat="1" x14ac:dyDescent="0.2"/>
    <row r="552" s="1" customFormat="1" x14ac:dyDescent="0.2"/>
    <row r="553" s="1" customFormat="1" x14ac:dyDescent="0.2"/>
    <row r="554" s="1" customFormat="1" x14ac:dyDescent="0.2"/>
    <row r="555" s="1" customFormat="1" x14ac:dyDescent="0.2"/>
    <row r="556" s="1" customFormat="1" x14ac:dyDescent="0.2"/>
    <row r="557" s="1" customFormat="1" x14ac:dyDescent="0.2"/>
    <row r="558" s="1" customFormat="1" x14ac:dyDescent="0.2"/>
    <row r="559" s="1" customFormat="1" x14ac:dyDescent="0.2"/>
    <row r="560" s="1" customFormat="1" x14ac:dyDescent="0.2"/>
    <row r="561" s="1" customFormat="1" x14ac:dyDescent="0.2"/>
    <row r="562" s="1" customFormat="1" x14ac:dyDescent="0.2"/>
    <row r="563" s="1" customFormat="1" x14ac:dyDescent="0.2"/>
    <row r="564" s="1" customFormat="1" x14ac:dyDescent="0.2"/>
    <row r="565" s="1" customFormat="1" x14ac:dyDescent="0.2"/>
    <row r="566" s="1" customFormat="1" x14ac:dyDescent="0.2"/>
    <row r="567" s="1" customFormat="1" x14ac:dyDescent="0.2"/>
    <row r="568" s="1" customFormat="1" x14ac:dyDescent="0.2"/>
    <row r="569" s="1" customFormat="1" x14ac:dyDescent="0.2"/>
    <row r="570" s="1" customFormat="1" x14ac:dyDescent="0.2"/>
    <row r="571" s="1" customFormat="1" x14ac:dyDescent="0.2"/>
    <row r="572" s="1" customFormat="1" x14ac:dyDescent="0.2"/>
    <row r="573" s="1" customFormat="1" x14ac:dyDescent="0.2"/>
    <row r="574" s="1" customFormat="1" x14ac:dyDescent="0.2"/>
    <row r="575" s="1" customFormat="1" x14ac:dyDescent="0.2"/>
    <row r="576" s="1" customFormat="1" x14ac:dyDescent="0.2"/>
    <row r="577" s="1" customFormat="1" x14ac:dyDescent="0.2"/>
    <row r="578" s="1" customFormat="1" x14ac:dyDescent="0.2"/>
    <row r="579" s="1" customFormat="1" x14ac:dyDescent="0.2"/>
    <row r="580" s="1" customFormat="1" x14ac:dyDescent="0.2"/>
    <row r="581" s="1" customFormat="1" x14ac:dyDescent="0.2"/>
    <row r="582" s="1" customFormat="1" x14ac:dyDescent="0.2"/>
    <row r="583" s="1" customFormat="1" x14ac:dyDescent="0.2"/>
    <row r="584" s="1" customFormat="1" x14ac:dyDescent="0.2"/>
    <row r="585" s="1" customFormat="1" x14ac:dyDescent="0.2"/>
    <row r="586" s="1" customFormat="1" x14ac:dyDescent="0.2"/>
    <row r="587" s="1" customFormat="1" x14ac:dyDescent="0.2"/>
    <row r="588" s="1" customFormat="1" x14ac:dyDescent="0.2"/>
    <row r="589" s="1" customFormat="1" x14ac:dyDescent="0.2"/>
    <row r="590" s="1" customFormat="1" x14ac:dyDescent="0.2"/>
    <row r="591" s="1" customFormat="1" x14ac:dyDescent="0.2"/>
    <row r="592" s="1" customFormat="1" x14ac:dyDescent="0.2"/>
    <row r="593" s="1" customFormat="1" x14ac:dyDescent="0.2"/>
    <row r="594" s="1" customFormat="1" x14ac:dyDescent="0.2"/>
    <row r="595" s="1" customFormat="1" x14ac:dyDescent="0.2"/>
    <row r="596" s="1" customFormat="1" x14ac:dyDescent="0.2"/>
    <row r="597" s="1" customFormat="1" x14ac:dyDescent="0.2"/>
    <row r="598" s="1" customFormat="1" x14ac:dyDescent="0.2"/>
    <row r="599" s="1" customFormat="1" x14ac:dyDescent="0.2"/>
    <row r="600" s="1" customFormat="1" x14ac:dyDescent="0.2"/>
    <row r="601" s="1" customFormat="1" x14ac:dyDescent="0.2"/>
    <row r="602" s="1" customFormat="1" x14ac:dyDescent="0.2"/>
    <row r="603" s="1" customFormat="1" x14ac:dyDescent="0.2"/>
    <row r="604" s="1" customFormat="1" x14ac:dyDescent="0.2"/>
  </sheetData>
  <sheetProtection selectLockedCells="1"/>
  <protectedRanges>
    <protectedRange password="CFE7" sqref="B10:B11 G11 B23 R19 D20 K11 L17 J10 K29:K500 I21 G20 J20 F29:I500 I18:I19 R21 C16:C17 A29:C500" name="Range1"/>
  </protectedRanges>
  <dataConsolidate/>
  <mergeCells count="1450">
    <mergeCell ref="L495:P495"/>
    <mergeCell ref="L496:P496"/>
    <mergeCell ref="L497:P497"/>
    <mergeCell ref="L491:P491"/>
    <mergeCell ref="L492:P492"/>
    <mergeCell ref="L493:P493"/>
    <mergeCell ref="L494:P494"/>
    <mergeCell ref="L455:P455"/>
    <mergeCell ref="L456:P456"/>
    <mergeCell ref="L457:P457"/>
    <mergeCell ref="L471:P471"/>
    <mergeCell ref="L472:P472"/>
    <mergeCell ref="L473:P473"/>
    <mergeCell ref="L474:P474"/>
    <mergeCell ref="L467:P467"/>
    <mergeCell ref="L468:P468"/>
    <mergeCell ref="L469:P469"/>
    <mergeCell ref="L470:P470"/>
    <mergeCell ref="L479:P479"/>
    <mergeCell ref="L480:P480"/>
    <mergeCell ref="L481:P481"/>
    <mergeCell ref="L482:P482"/>
    <mergeCell ref="L475:P475"/>
    <mergeCell ref="L476:P476"/>
    <mergeCell ref="L448:P448"/>
    <mergeCell ref="L458:P458"/>
    <mergeCell ref="L459:P459"/>
    <mergeCell ref="L460:P460"/>
    <mergeCell ref="L461:P461"/>
    <mergeCell ref="L462:P462"/>
    <mergeCell ref="L452:P452"/>
    <mergeCell ref="L463:P463"/>
    <mergeCell ref="L464:P464"/>
    <mergeCell ref="L465:P465"/>
    <mergeCell ref="L487:P487"/>
    <mergeCell ref="L488:P488"/>
    <mergeCell ref="L489:P489"/>
    <mergeCell ref="L490:P490"/>
    <mergeCell ref="L483:P483"/>
    <mergeCell ref="L484:P484"/>
    <mergeCell ref="L485:P485"/>
    <mergeCell ref="L486:P486"/>
    <mergeCell ref="L466:P466"/>
    <mergeCell ref="L453:P453"/>
    <mergeCell ref="L454:P454"/>
    <mergeCell ref="L425:P425"/>
    <mergeCell ref="L426:P426"/>
    <mergeCell ref="L427:P427"/>
    <mergeCell ref="L428:P428"/>
    <mergeCell ref="L421:P421"/>
    <mergeCell ref="L422:P422"/>
    <mergeCell ref="L423:P423"/>
    <mergeCell ref="L424:P424"/>
    <mergeCell ref="L433:P433"/>
    <mergeCell ref="L434:P434"/>
    <mergeCell ref="L477:P477"/>
    <mergeCell ref="L478:P478"/>
    <mergeCell ref="L435:P435"/>
    <mergeCell ref="L436:P436"/>
    <mergeCell ref="L429:P429"/>
    <mergeCell ref="L430:P430"/>
    <mergeCell ref="L431:P431"/>
    <mergeCell ref="L432:P432"/>
    <mergeCell ref="L441:P441"/>
    <mergeCell ref="L442:P442"/>
    <mergeCell ref="L443:P443"/>
    <mergeCell ref="L444:P444"/>
    <mergeCell ref="L437:P437"/>
    <mergeCell ref="L438:P438"/>
    <mergeCell ref="L439:P439"/>
    <mergeCell ref="L440:P440"/>
    <mergeCell ref="L449:P449"/>
    <mergeCell ref="L450:P450"/>
    <mergeCell ref="L451:P451"/>
    <mergeCell ref="L445:P445"/>
    <mergeCell ref="L446:P446"/>
    <mergeCell ref="L447:P447"/>
    <mergeCell ref="L404:P404"/>
    <mergeCell ref="L397:P397"/>
    <mergeCell ref="L398:P398"/>
    <mergeCell ref="L399:P399"/>
    <mergeCell ref="L400:P400"/>
    <mergeCell ref="L409:P409"/>
    <mergeCell ref="L410:P410"/>
    <mergeCell ref="L411:P411"/>
    <mergeCell ref="L412:P412"/>
    <mergeCell ref="L405:P405"/>
    <mergeCell ref="L406:P406"/>
    <mergeCell ref="L407:P407"/>
    <mergeCell ref="L408:P408"/>
    <mergeCell ref="L417:P417"/>
    <mergeCell ref="L418:P418"/>
    <mergeCell ref="L419:P419"/>
    <mergeCell ref="L420:P420"/>
    <mergeCell ref="L413:P413"/>
    <mergeCell ref="L414:P414"/>
    <mergeCell ref="L415:P415"/>
    <mergeCell ref="L416:P416"/>
    <mergeCell ref="A6:B6"/>
    <mergeCell ref="B20:C20"/>
    <mergeCell ref="A8:B8"/>
    <mergeCell ref="A23:A24"/>
    <mergeCell ref="B10:G10"/>
    <mergeCell ref="F11:G11"/>
    <mergeCell ref="A9:B9"/>
    <mergeCell ref="L16:M17"/>
    <mergeCell ref="C17:E17"/>
    <mergeCell ref="B23:Q24"/>
    <mergeCell ref="C18:D18"/>
    <mergeCell ref="C16:E16"/>
    <mergeCell ref="L382:P382"/>
    <mergeCell ref="L383:P383"/>
    <mergeCell ref="L384:P384"/>
    <mergeCell ref="L385:P385"/>
    <mergeCell ref="A26:B27"/>
    <mergeCell ref="D20:E20"/>
    <mergeCell ref="J20:K20"/>
    <mergeCell ref="H20:I20"/>
    <mergeCell ref="C290:D290"/>
    <mergeCell ref="C287:D287"/>
    <mergeCell ref="C379:D379"/>
    <mergeCell ref="C380:D380"/>
    <mergeCell ref="C377:D377"/>
    <mergeCell ref="C345:D345"/>
    <mergeCell ref="I355:J355"/>
    <mergeCell ref="I358:J358"/>
    <mergeCell ref="I373:J373"/>
    <mergeCell ref="I374:J374"/>
    <mergeCell ref="I375:J375"/>
    <mergeCell ref="I364:J364"/>
    <mergeCell ref="C500:D500"/>
    <mergeCell ref="C26:D28"/>
    <mergeCell ref="C497:D497"/>
    <mergeCell ref="C498:D498"/>
    <mergeCell ref="C282:D282"/>
    <mergeCell ref="C277:D277"/>
    <mergeCell ref="C496:D496"/>
    <mergeCell ref="C494:D494"/>
    <mergeCell ref="C285:D285"/>
    <mergeCell ref="C291:D291"/>
    <mergeCell ref="B11:D11"/>
    <mergeCell ref="C499:D499"/>
    <mergeCell ref="C292:D292"/>
    <mergeCell ref="C295:D295"/>
    <mergeCell ref="C296:D296"/>
    <mergeCell ref="C293:D293"/>
    <mergeCell ref="L20:M20"/>
    <mergeCell ref="L393:P393"/>
    <mergeCell ref="L394:P394"/>
    <mergeCell ref="L395:P395"/>
    <mergeCell ref="L396:P396"/>
    <mergeCell ref="L387:P387"/>
    <mergeCell ref="L388:P388"/>
    <mergeCell ref="L389:P389"/>
    <mergeCell ref="L390:P390"/>
    <mergeCell ref="I365:J365"/>
    <mergeCell ref="I360:J360"/>
    <mergeCell ref="I361:J361"/>
    <mergeCell ref="I362:J362"/>
    <mergeCell ref="L401:P401"/>
    <mergeCell ref="L402:P402"/>
    <mergeCell ref="L403:P403"/>
    <mergeCell ref="C489:D489"/>
    <mergeCell ref="C490:D490"/>
    <mergeCell ref="C491:D491"/>
    <mergeCell ref="C492:D492"/>
    <mergeCell ref="C485:D485"/>
    <mergeCell ref="C486:D486"/>
    <mergeCell ref="C487:D487"/>
    <mergeCell ref="C488:D488"/>
    <mergeCell ref="C495:D495"/>
    <mergeCell ref="C281:D281"/>
    <mergeCell ref="C297:D297"/>
    <mergeCell ref="C396:D396"/>
    <mergeCell ref="C357:D357"/>
    <mergeCell ref="C358:D358"/>
    <mergeCell ref="C298:D298"/>
    <mergeCell ref="C493:D493"/>
    <mergeCell ref="C465:D465"/>
    <mergeCell ref="C466:D466"/>
    <mergeCell ref="C467:D467"/>
    <mergeCell ref="C468:D468"/>
    <mergeCell ref="C461:D461"/>
    <mergeCell ref="C462:D462"/>
    <mergeCell ref="C463:D463"/>
    <mergeCell ref="C464:D464"/>
    <mergeCell ref="C473:D473"/>
    <mergeCell ref="C383:D383"/>
    <mergeCell ref="C384:D384"/>
    <mergeCell ref="C381:D381"/>
    <mergeCell ref="C382:D382"/>
    <mergeCell ref="C364:D364"/>
    <mergeCell ref="C387:D387"/>
    <mergeCell ref="C388:D388"/>
    <mergeCell ref="I357:J357"/>
    <mergeCell ref="C392:D392"/>
    <mergeCell ref="C393:D393"/>
    <mergeCell ref="C294:D294"/>
    <mergeCell ref="C299:D299"/>
    <mergeCell ref="C300:D300"/>
    <mergeCell ref="C390:D390"/>
    <mergeCell ref="C482:D482"/>
    <mergeCell ref="C483:D483"/>
    <mergeCell ref="C484:D484"/>
    <mergeCell ref="C477:D477"/>
    <mergeCell ref="C478:D478"/>
    <mergeCell ref="C479:D479"/>
    <mergeCell ref="C480:D480"/>
    <mergeCell ref="C402:D402"/>
    <mergeCell ref="C474:D474"/>
    <mergeCell ref="C475:D475"/>
    <mergeCell ref="C476:D476"/>
    <mergeCell ref="C469:D469"/>
    <mergeCell ref="C470:D470"/>
    <mergeCell ref="C471:D471"/>
    <mergeCell ref="C472:D472"/>
    <mergeCell ref="C481:D481"/>
    <mergeCell ref="C395:D395"/>
    <mergeCell ref="C385:D385"/>
    <mergeCell ref="C386:D386"/>
    <mergeCell ref="C394:D394"/>
    <mergeCell ref="C397:D397"/>
    <mergeCell ref="C398:D398"/>
    <mergeCell ref="C400:D400"/>
    <mergeCell ref="C391:D391"/>
    <mergeCell ref="C389:D389"/>
    <mergeCell ref="C371:D371"/>
    <mergeCell ref="C372:D372"/>
    <mergeCell ref="C424:D424"/>
    <mergeCell ref="C425:D425"/>
    <mergeCell ref="C426:D426"/>
    <mergeCell ref="C373:D373"/>
    <mergeCell ref="C374:D374"/>
    <mergeCell ref="C422:D422"/>
    <mergeCell ref="C375:D375"/>
    <mergeCell ref="C376:D376"/>
    <mergeCell ref="C423:D423"/>
    <mergeCell ref="C378:D378"/>
    <mergeCell ref="C419:D419"/>
    <mergeCell ref="C420:D420"/>
    <mergeCell ref="C421:D421"/>
    <mergeCell ref="C415:D415"/>
    <mergeCell ref="C416:D416"/>
    <mergeCell ref="C417:D417"/>
    <mergeCell ref="C418:D418"/>
    <mergeCell ref="C409:D409"/>
    <mergeCell ref="C410:D410"/>
    <mergeCell ref="C411:D411"/>
    <mergeCell ref="C412:D412"/>
    <mergeCell ref="C413:D413"/>
    <mergeCell ref="C414:D414"/>
    <mergeCell ref="C403:D403"/>
    <mergeCell ref="C404:D404"/>
    <mergeCell ref="C405:D405"/>
    <mergeCell ref="C406:D406"/>
    <mergeCell ref="C407:D407"/>
    <mergeCell ref="C408:D408"/>
    <mergeCell ref="C401:D401"/>
    <mergeCell ref="C460:D460"/>
    <mergeCell ref="C353:D353"/>
    <mergeCell ref="C354:D354"/>
    <mergeCell ref="C399:D399"/>
    <mergeCell ref="I366:J366"/>
    <mergeCell ref="I367:J367"/>
    <mergeCell ref="C355:D355"/>
    <mergeCell ref="C356:D356"/>
    <mergeCell ref="I353:J353"/>
    <mergeCell ref="C458:D458"/>
    <mergeCell ref="C453:D453"/>
    <mergeCell ref="C454:D454"/>
    <mergeCell ref="C359:D359"/>
    <mergeCell ref="C360:D360"/>
    <mergeCell ref="I363:J363"/>
    <mergeCell ref="C455:D455"/>
    <mergeCell ref="C361:D361"/>
    <mergeCell ref="C362:D362"/>
    <mergeCell ref="C363:D363"/>
    <mergeCell ref="C447:D447"/>
    <mergeCell ref="C448:D448"/>
    <mergeCell ref="C449:D449"/>
    <mergeCell ref="C450:D450"/>
    <mergeCell ref="C456:D456"/>
    <mergeCell ref="C457:D457"/>
    <mergeCell ref="C451:D451"/>
    <mergeCell ref="C452:D452"/>
    <mergeCell ref="C445:D445"/>
    <mergeCell ref="C446:D446"/>
    <mergeCell ref="C365:D365"/>
    <mergeCell ref="C366:D366"/>
    <mergeCell ref="C443:D443"/>
    <mergeCell ref="I371:J371"/>
    <mergeCell ref="C346:D346"/>
    <mergeCell ref="C347:D347"/>
    <mergeCell ref="C348:D348"/>
    <mergeCell ref="C349:D349"/>
    <mergeCell ref="C350:D350"/>
    <mergeCell ref="I359:J359"/>
    <mergeCell ref="I352:J352"/>
    <mergeCell ref="I354:J354"/>
    <mergeCell ref="I351:J351"/>
    <mergeCell ref="C351:D351"/>
    <mergeCell ref="C352:D352"/>
    <mergeCell ref="I369:J369"/>
    <mergeCell ref="I356:J356"/>
    <mergeCell ref="C367:D367"/>
    <mergeCell ref="C368:D368"/>
    <mergeCell ref="C459:D459"/>
    <mergeCell ref="C444:D444"/>
    <mergeCell ref="C439:D439"/>
    <mergeCell ref="C440:D440"/>
    <mergeCell ref="C441:D441"/>
    <mergeCell ref="C442:D442"/>
    <mergeCell ref="C438:D438"/>
    <mergeCell ref="C435:D435"/>
    <mergeCell ref="C436:D436"/>
    <mergeCell ref="C437:D437"/>
    <mergeCell ref="C427:D427"/>
    <mergeCell ref="C428:D428"/>
    <mergeCell ref="C429:D429"/>
    <mergeCell ref="C430:D430"/>
    <mergeCell ref="C369:D369"/>
    <mergeCell ref="C370:D370"/>
    <mergeCell ref="I389:J389"/>
    <mergeCell ref="I384:J384"/>
    <mergeCell ref="C339:D339"/>
    <mergeCell ref="I404:J404"/>
    <mergeCell ref="I405:J405"/>
    <mergeCell ref="I394:J394"/>
    <mergeCell ref="I402:J402"/>
    <mergeCell ref="I403:J403"/>
    <mergeCell ref="I395:J395"/>
    <mergeCell ref="C340:D340"/>
    <mergeCell ref="I385:J385"/>
    <mergeCell ref="I386:J386"/>
    <mergeCell ref="I387:J387"/>
    <mergeCell ref="C341:D341"/>
    <mergeCell ref="C342:D342"/>
    <mergeCell ref="I376:J376"/>
    <mergeCell ref="I377:J377"/>
    <mergeCell ref="I372:J372"/>
    <mergeCell ref="C343:D343"/>
    <mergeCell ref="I392:J392"/>
    <mergeCell ref="I393:J393"/>
    <mergeCell ref="I382:J382"/>
    <mergeCell ref="I390:J390"/>
    <mergeCell ref="I391:J391"/>
    <mergeCell ref="I383:J383"/>
    <mergeCell ref="C344:D344"/>
    <mergeCell ref="I368:J368"/>
    <mergeCell ref="I380:J380"/>
    <mergeCell ref="I381:J381"/>
    <mergeCell ref="I370:J370"/>
    <mergeCell ref="I378:J378"/>
    <mergeCell ref="I379:J379"/>
    <mergeCell ref="I418:J418"/>
    <mergeCell ref="I426:J426"/>
    <mergeCell ref="I427:J427"/>
    <mergeCell ref="C329:D329"/>
    <mergeCell ref="C330:D330"/>
    <mergeCell ref="I419:J419"/>
    <mergeCell ref="I412:J412"/>
    <mergeCell ref="I413:J413"/>
    <mergeCell ref="I408:J408"/>
    <mergeCell ref="C331:D331"/>
    <mergeCell ref="C332:D332"/>
    <mergeCell ref="I409:J409"/>
    <mergeCell ref="I410:J410"/>
    <mergeCell ref="I411:J411"/>
    <mergeCell ref="C333:D333"/>
    <mergeCell ref="C334:D334"/>
    <mergeCell ref="I400:J400"/>
    <mergeCell ref="I401:J401"/>
    <mergeCell ref="I396:J396"/>
    <mergeCell ref="C335:D335"/>
    <mergeCell ref="I416:J416"/>
    <mergeCell ref="I417:J417"/>
    <mergeCell ref="I406:J406"/>
    <mergeCell ref="I414:J414"/>
    <mergeCell ref="I415:J415"/>
    <mergeCell ref="I407:J407"/>
    <mergeCell ref="I397:J397"/>
    <mergeCell ref="I398:J398"/>
    <mergeCell ref="I399:J399"/>
    <mergeCell ref="C337:D337"/>
    <mergeCell ref="C338:D338"/>
    <mergeCell ref="I388:J388"/>
    <mergeCell ref="I488:J488"/>
    <mergeCell ref="I489:J489"/>
    <mergeCell ref="I478:J478"/>
    <mergeCell ref="I479:J479"/>
    <mergeCell ref="I486:J486"/>
    <mergeCell ref="I487:J487"/>
    <mergeCell ref="C431:D431"/>
    <mergeCell ref="C432:D432"/>
    <mergeCell ref="I348:J348"/>
    <mergeCell ref="I349:J349"/>
    <mergeCell ref="I420:J420"/>
    <mergeCell ref="I421:J421"/>
    <mergeCell ref="I422:J422"/>
    <mergeCell ref="I423:J423"/>
    <mergeCell ref="I428:J428"/>
    <mergeCell ref="I429:J429"/>
    <mergeCell ref="I463:J463"/>
    <mergeCell ref="C434:D434"/>
    <mergeCell ref="I433:J433"/>
    <mergeCell ref="I424:J424"/>
    <mergeCell ref="I425:J425"/>
    <mergeCell ref="I445:J445"/>
    <mergeCell ref="I446:J446"/>
    <mergeCell ref="I434:J434"/>
    <mergeCell ref="I432:J432"/>
    <mergeCell ref="I444:J444"/>
    <mergeCell ref="I447:J447"/>
    <mergeCell ref="I442:J442"/>
    <mergeCell ref="I443:J443"/>
    <mergeCell ref="I484:J484"/>
    <mergeCell ref="I485:J485"/>
    <mergeCell ref="I480:J480"/>
    <mergeCell ref="I483:J483"/>
    <mergeCell ref="I481:J481"/>
    <mergeCell ref="I482:J482"/>
    <mergeCell ref="I469:J469"/>
    <mergeCell ref="I470:J470"/>
    <mergeCell ref="I471:J471"/>
    <mergeCell ref="I466:J466"/>
    <mergeCell ref="I347:J347"/>
    <mergeCell ref="C323:D323"/>
    <mergeCell ref="C324:D324"/>
    <mergeCell ref="I324:J324"/>
    <mergeCell ref="C325:D325"/>
    <mergeCell ref="C326:D326"/>
    <mergeCell ref="I330:J330"/>
    <mergeCell ref="I331:J331"/>
    <mergeCell ref="I332:J332"/>
    <mergeCell ref="I333:J333"/>
    <mergeCell ref="I334:J334"/>
    <mergeCell ref="I475:J475"/>
    <mergeCell ref="I456:J456"/>
    <mergeCell ref="I457:J457"/>
    <mergeCell ref="I458:J458"/>
    <mergeCell ref="I459:J459"/>
    <mergeCell ref="I464:J464"/>
    <mergeCell ref="I465:J465"/>
    <mergeCell ref="I474:J474"/>
    <mergeCell ref="I467:J467"/>
    <mergeCell ref="I460:J460"/>
    <mergeCell ref="I455:J455"/>
    <mergeCell ref="I341:J341"/>
    <mergeCell ref="I440:J440"/>
    <mergeCell ref="I441:J441"/>
    <mergeCell ref="C316:D316"/>
    <mergeCell ref="C317:D317"/>
    <mergeCell ref="I321:J321"/>
    <mergeCell ref="I325:J325"/>
    <mergeCell ref="C309:D309"/>
    <mergeCell ref="C310:D310"/>
    <mergeCell ref="I322:J322"/>
    <mergeCell ref="I323:J323"/>
    <mergeCell ref="I436:J436"/>
    <mergeCell ref="I437:J437"/>
    <mergeCell ref="I435:J435"/>
    <mergeCell ref="I472:J472"/>
    <mergeCell ref="I473:J473"/>
    <mergeCell ref="I468:J468"/>
    <mergeCell ref="C311:D311"/>
    <mergeCell ref="C433:D433"/>
    <mergeCell ref="C312:D312"/>
    <mergeCell ref="I346:J346"/>
    <mergeCell ref="I328:J328"/>
    <mergeCell ref="I448:J448"/>
    <mergeCell ref="I449:J449"/>
    <mergeCell ref="I462:J462"/>
    <mergeCell ref="I452:J452"/>
    <mergeCell ref="I453:J453"/>
    <mergeCell ref="I454:J454"/>
    <mergeCell ref="I450:J450"/>
    <mergeCell ref="I451:J451"/>
    <mergeCell ref="I461:J461"/>
    <mergeCell ref="I430:J430"/>
    <mergeCell ref="I438:J438"/>
    <mergeCell ref="I439:J439"/>
    <mergeCell ref="I431:J431"/>
    <mergeCell ref="I500:J500"/>
    <mergeCell ref="I496:J496"/>
    <mergeCell ref="I497:J497"/>
    <mergeCell ref="I494:J494"/>
    <mergeCell ref="I495:J495"/>
    <mergeCell ref="I498:J498"/>
    <mergeCell ref="I499:J499"/>
    <mergeCell ref="I492:J492"/>
    <mergeCell ref="C301:D301"/>
    <mergeCell ref="C302:D302"/>
    <mergeCell ref="I490:J490"/>
    <mergeCell ref="I350:J350"/>
    <mergeCell ref="C307:D307"/>
    <mergeCell ref="I344:J344"/>
    <mergeCell ref="I345:J345"/>
    <mergeCell ref="I476:J476"/>
    <mergeCell ref="I477:J477"/>
    <mergeCell ref="I493:J493"/>
    <mergeCell ref="I342:J342"/>
    <mergeCell ref="C305:D305"/>
    <mergeCell ref="C306:D306"/>
    <mergeCell ref="C321:D321"/>
    <mergeCell ref="C322:D322"/>
    <mergeCell ref="I335:J335"/>
    <mergeCell ref="I336:J336"/>
    <mergeCell ref="I337:J337"/>
    <mergeCell ref="I338:J338"/>
    <mergeCell ref="I339:J339"/>
    <mergeCell ref="I340:J340"/>
    <mergeCell ref="C303:D303"/>
    <mergeCell ref="C304:D304"/>
    <mergeCell ref="I343:J343"/>
    <mergeCell ref="C336:D336"/>
    <mergeCell ref="C278:D278"/>
    <mergeCell ref="C275:D275"/>
    <mergeCell ref="C276:D276"/>
    <mergeCell ref="C289:D289"/>
    <mergeCell ref="C288:D288"/>
    <mergeCell ref="C280:D280"/>
    <mergeCell ref="C286:D286"/>
    <mergeCell ref="C283:D283"/>
    <mergeCell ref="C284:D284"/>
    <mergeCell ref="C279:D279"/>
    <mergeCell ref="I326:J326"/>
    <mergeCell ref="I327:J327"/>
    <mergeCell ref="C318:D318"/>
    <mergeCell ref="C319:D319"/>
    <mergeCell ref="C320:D320"/>
    <mergeCell ref="C327:D327"/>
    <mergeCell ref="C328:D328"/>
    <mergeCell ref="I329:J329"/>
    <mergeCell ref="C308:D308"/>
    <mergeCell ref="I318:J318"/>
    <mergeCell ref="I302:J302"/>
    <mergeCell ref="I303:J303"/>
    <mergeCell ref="I304:J304"/>
    <mergeCell ref="I305:J305"/>
    <mergeCell ref="I306:J306"/>
    <mergeCell ref="I286:J286"/>
    <mergeCell ref="I287:J287"/>
    <mergeCell ref="I288:J288"/>
    <mergeCell ref="C313:D313"/>
    <mergeCell ref="C314:D314"/>
    <mergeCell ref="C315:D315"/>
    <mergeCell ref="I491:J491"/>
    <mergeCell ref="C253:D253"/>
    <mergeCell ref="C254:D254"/>
    <mergeCell ref="C257:D257"/>
    <mergeCell ref="C252:D252"/>
    <mergeCell ref="C255:D255"/>
    <mergeCell ref="C256:D256"/>
    <mergeCell ref="C266:D266"/>
    <mergeCell ref="C259:D259"/>
    <mergeCell ref="C260:D260"/>
    <mergeCell ref="C258:D258"/>
    <mergeCell ref="C263:D263"/>
    <mergeCell ref="C264:D264"/>
    <mergeCell ref="C261:D261"/>
    <mergeCell ref="C262:D262"/>
    <mergeCell ref="C273:D273"/>
    <mergeCell ref="C274:D274"/>
    <mergeCell ref="I319:J319"/>
    <mergeCell ref="I320:J320"/>
    <mergeCell ref="I310:J310"/>
    <mergeCell ref="I311:J311"/>
    <mergeCell ref="I312:J312"/>
    <mergeCell ref="I313:J313"/>
    <mergeCell ref="I308:J308"/>
    <mergeCell ref="I309:J309"/>
    <mergeCell ref="I294:J294"/>
    <mergeCell ref="I295:J295"/>
    <mergeCell ref="I296:J296"/>
    <mergeCell ref="I297:J297"/>
    <mergeCell ref="I298:J298"/>
    <mergeCell ref="I299:J299"/>
    <mergeCell ref="I300:J300"/>
    <mergeCell ref="C267:D267"/>
    <mergeCell ref="C268:D268"/>
    <mergeCell ref="C271:D271"/>
    <mergeCell ref="C272:D272"/>
    <mergeCell ref="C269:D269"/>
    <mergeCell ref="C270:D270"/>
    <mergeCell ref="C265:D265"/>
    <mergeCell ref="C251:D251"/>
    <mergeCell ref="C249:D249"/>
    <mergeCell ref="C250:D250"/>
    <mergeCell ref="C236:D236"/>
    <mergeCell ref="C233:D233"/>
    <mergeCell ref="C234:D234"/>
    <mergeCell ref="C239:D239"/>
    <mergeCell ref="C240:D240"/>
    <mergeCell ref="C237:D237"/>
    <mergeCell ref="C238:D238"/>
    <mergeCell ref="C244:D244"/>
    <mergeCell ref="C241:D241"/>
    <mergeCell ref="C242:D242"/>
    <mergeCell ref="C247:D247"/>
    <mergeCell ref="C248:D248"/>
    <mergeCell ref="C245:D245"/>
    <mergeCell ref="C246:D246"/>
    <mergeCell ref="C243:D243"/>
    <mergeCell ref="C235:D235"/>
    <mergeCell ref="C220:D220"/>
    <mergeCell ref="C217:D217"/>
    <mergeCell ref="C218:D218"/>
    <mergeCell ref="C223:D223"/>
    <mergeCell ref="C224:D224"/>
    <mergeCell ref="C221:D221"/>
    <mergeCell ref="C222:D222"/>
    <mergeCell ref="C227:D227"/>
    <mergeCell ref="C219:D219"/>
    <mergeCell ref="C228:D228"/>
    <mergeCell ref="C225:D225"/>
    <mergeCell ref="C226:D226"/>
    <mergeCell ref="C231:D231"/>
    <mergeCell ref="C232:D232"/>
    <mergeCell ref="C229:D229"/>
    <mergeCell ref="C230:D230"/>
    <mergeCell ref="C196:D196"/>
    <mergeCell ref="C215:D215"/>
    <mergeCell ref="C216:D216"/>
    <mergeCell ref="C213:D213"/>
    <mergeCell ref="C193:D193"/>
    <mergeCell ref="C194:D194"/>
    <mergeCell ref="C199:D199"/>
    <mergeCell ref="C200:D200"/>
    <mergeCell ref="C197:D197"/>
    <mergeCell ref="C198:D198"/>
    <mergeCell ref="C195:D195"/>
    <mergeCell ref="C204:D204"/>
    <mergeCell ref="C201:D201"/>
    <mergeCell ref="C202:D202"/>
    <mergeCell ref="C207:D207"/>
    <mergeCell ref="C208:D208"/>
    <mergeCell ref="C205:D205"/>
    <mergeCell ref="C206:D206"/>
    <mergeCell ref="C203:D203"/>
    <mergeCell ref="C214:D214"/>
    <mergeCell ref="C211:D211"/>
    <mergeCell ref="C212:D212"/>
    <mergeCell ref="C209:D209"/>
    <mergeCell ref="C210:D210"/>
    <mergeCell ref="C176:D176"/>
    <mergeCell ref="C173:D173"/>
    <mergeCell ref="C174:D174"/>
    <mergeCell ref="C171:D171"/>
    <mergeCell ref="C180:D180"/>
    <mergeCell ref="C177:D177"/>
    <mergeCell ref="C178:D178"/>
    <mergeCell ref="C183:D183"/>
    <mergeCell ref="C184:D184"/>
    <mergeCell ref="C181:D181"/>
    <mergeCell ref="C182:D182"/>
    <mergeCell ref="C179:D179"/>
    <mergeCell ref="C188:D188"/>
    <mergeCell ref="C185:D185"/>
    <mergeCell ref="C186:D186"/>
    <mergeCell ref="C191:D191"/>
    <mergeCell ref="C192:D192"/>
    <mergeCell ref="C189:D189"/>
    <mergeCell ref="C190:D190"/>
    <mergeCell ref="C187:D187"/>
    <mergeCell ref="C159:D159"/>
    <mergeCell ref="C160:D160"/>
    <mergeCell ref="C157:D157"/>
    <mergeCell ref="C158:D158"/>
    <mergeCell ref="C155:D155"/>
    <mergeCell ref="C164:D164"/>
    <mergeCell ref="C161:D161"/>
    <mergeCell ref="C162:D162"/>
    <mergeCell ref="C167:D167"/>
    <mergeCell ref="C168:D168"/>
    <mergeCell ref="C165:D165"/>
    <mergeCell ref="C166:D166"/>
    <mergeCell ref="C163:D163"/>
    <mergeCell ref="C172:D172"/>
    <mergeCell ref="C169:D169"/>
    <mergeCell ref="C170:D170"/>
    <mergeCell ref="C175:D175"/>
    <mergeCell ref="C140:D140"/>
    <mergeCell ref="C137:D137"/>
    <mergeCell ref="C138:D138"/>
    <mergeCell ref="C143:D143"/>
    <mergeCell ref="C144:D144"/>
    <mergeCell ref="C141:D141"/>
    <mergeCell ref="C142:D142"/>
    <mergeCell ref="C139:D139"/>
    <mergeCell ref="C148:D148"/>
    <mergeCell ref="C145:D145"/>
    <mergeCell ref="C146:D146"/>
    <mergeCell ref="C151:D151"/>
    <mergeCell ref="C152:D152"/>
    <mergeCell ref="C149:D149"/>
    <mergeCell ref="C150:D150"/>
    <mergeCell ref="C147:D147"/>
    <mergeCell ref="C156:D156"/>
    <mergeCell ref="C153:D153"/>
    <mergeCell ref="C154:D154"/>
    <mergeCell ref="C115:D115"/>
    <mergeCell ref="C124:D124"/>
    <mergeCell ref="C121:D121"/>
    <mergeCell ref="C122:D122"/>
    <mergeCell ref="C127:D127"/>
    <mergeCell ref="C128:D128"/>
    <mergeCell ref="C125:D125"/>
    <mergeCell ref="C126:D126"/>
    <mergeCell ref="C123:D123"/>
    <mergeCell ref="C132:D132"/>
    <mergeCell ref="C129:D129"/>
    <mergeCell ref="C130:D130"/>
    <mergeCell ref="C135:D135"/>
    <mergeCell ref="C136:D136"/>
    <mergeCell ref="C133:D133"/>
    <mergeCell ref="C134:D134"/>
    <mergeCell ref="C131:D131"/>
    <mergeCell ref="C44:D44"/>
    <mergeCell ref="C41:D41"/>
    <mergeCell ref="C42:D42"/>
    <mergeCell ref="C47:D47"/>
    <mergeCell ref="C48:D48"/>
    <mergeCell ref="C45:D45"/>
    <mergeCell ref="C46:D46"/>
    <mergeCell ref="C43:D43"/>
    <mergeCell ref="C52:D52"/>
    <mergeCell ref="C49:D49"/>
    <mergeCell ref="C50:D50"/>
    <mergeCell ref="C55:D55"/>
    <mergeCell ref="C56:D56"/>
    <mergeCell ref="C53:D53"/>
    <mergeCell ref="C54:D54"/>
    <mergeCell ref="C51:D51"/>
    <mergeCell ref="C60:D60"/>
    <mergeCell ref="C57:D57"/>
    <mergeCell ref="C58:D58"/>
    <mergeCell ref="I289:J289"/>
    <mergeCell ref="I290:J290"/>
    <mergeCell ref="I291:J291"/>
    <mergeCell ref="I292:J292"/>
    <mergeCell ref="I293:J293"/>
    <mergeCell ref="I307:J307"/>
    <mergeCell ref="C77:D77"/>
    <mergeCell ref="C78:D78"/>
    <mergeCell ref="C75:D75"/>
    <mergeCell ref="C84:D84"/>
    <mergeCell ref="C81:D81"/>
    <mergeCell ref="C82:D82"/>
    <mergeCell ref="C87:D87"/>
    <mergeCell ref="C88:D88"/>
    <mergeCell ref="C85:D85"/>
    <mergeCell ref="C86:D86"/>
    <mergeCell ref="C83:D83"/>
    <mergeCell ref="I269:J269"/>
    <mergeCell ref="I254:J254"/>
    <mergeCell ref="I255:J255"/>
    <mergeCell ref="I256:J256"/>
    <mergeCell ref="I257:J257"/>
    <mergeCell ref="I258:J258"/>
    <mergeCell ref="C99:D99"/>
    <mergeCell ref="C108:D108"/>
    <mergeCell ref="C105:D105"/>
    <mergeCell ref="C106:D106"/>
    <mergeCell ref="C111:D111"/>
    <mergeCell ref="C112:D112"/>
    <mergeCell ref="I284:J284"/>
    <mergeCell ref="I285:J285"/>
    <mergeCell ref="I270:J270"/>
    <mergeCell ref="C63:D63"/>
    <mergeCell ref="C64:D64"/>
    <mergeCell ref="C61:D61"/>
    <mergeCell ref="C62:D62"/>
    <mergeCell ref="C59:D59"/>
    <mergeCell ref="C68:D68"/>
    <mergeCell ref="C65:D65"/>
    <mergeCell ref="I314:J314"/>
    <mergeCell ref="I315:J315"/>
    <mergeCell ref="I316:J316"/>
    <mergeCell ref="I317:J317"/>
    <mergeCell ref="C92:D92"/>
    <mergeCell ref="C89:D89"/>
    <mergeCell ref="C90:D90"/>
    <mergeCell ref="C95:D95"/>
    <mergeCell ref="C96:D96"/>
    <mergeCell ref="C93:D93"/>
    <mergeCell ref="C94:D94"/>
    <mergeCell ref="C91:D91"/>
    <mergeCell ref="C100:D100"/>
    <mergeCell ref="C97:D97"/>
    <mergeCell ref="C98:D98"/>
    <mergeCell ref="C103:D103"/>
    <mergeCell ref="C104:D104"/>
    <mergeCell ref="C101:D101"/>
    <mergeCell ref="C102:D102"/>
    <mergeCell ref="C76:D76"/>
    <mergeCell ref="C73:D73"/>
    <mergeCell ref="C74:D74"/>
    <mergeCell ref="C79:D79"/>
    <mergeCell ref="C80:D80"/>
    <mergeCell ref="I301:J301"/>
    <mergeCell ref="I271:J271"/>
    <mergeCell ref="I272:J272"/>
    <mergeCell ref="I273:J273"/>
    <mergeCell ref="I274:J274"/>
    <mergeCell ref="I275:J275"/>
    <mergeCell ref="I276:J276"/>
    <mergeCell ref="I277:J277"/>
    <mergeCell ref="I278:J278"/>
    <mergeCell ref="I279:J279"/>
    <mergeCell ref="I280:J280"/>
    <mergeCell ref="I281:J281"/>
    <mergeCell ref="I282:J282"/>
    <mergeCell ref="I283:J283"/>
    <mergeCell ref="C66:D66"/>
    <mergeCell ref="C71:D71"/>
    <mergeCell ref="C72:D72"/>
    <mergeCell ref="C69:D69"/>
    <mergeCell ref="C70:D70"/>
    <mergeCell ref="C67:D67"/>
    <mergeCell ref="C109:D109"/>
    <mergeCell ref="C110:D110"/>
    <mergeCell ref="C107:D107"/>
    <mergeCell ref="C116:D116"/>
    <mergeCell ref="C113:D113"/>
    <mergeCell ref="C114:D114"/>
    <mergeCell ref="C119:D119"/>
    <mergeCell ref="C120:D120"/>
    <mergeCell ref="C117:D117"/>
    <mergeCell ref="C118:D118"/>
    <mergeCell ref="I252:J252"/>
    <mergeCell ref="I253:J253"/>
    <mergeCell ref="I238:J238"/>
    <mergeCell ref="I239:J239"/>
    <mergeCell ref="I240:J240"/>
    <mergeCell ref="I241:J241"/>
    <mergeCell ref="I242:J242"/>
    <mergeCell ref="I243:J243"/>
    <mergeCell ref="I244:J244"/>
    <mergeCell ref="I245:J245"/>
    <mergeCell ref="I246:J246"/>
    <mergeCell ref="I247:J247"/>
    <mergeCell ref="I248:J248"/>
    <mergeCell ref="I249:J249"/>
    <mergeCell ref="I250:J250"/>
    <mergeCell ref="I251:J251"/>
    <mergeCell ref="I268:J268"/>
    <mergeCell ref="I259:J259"/>
    <mergeCell ref="I260:J260"/>
    <mergeCell ref="I261:J261"/>
    <mergeCell ref="I262:J262"/>
    <mergeCell ref="I263:J263"/>
    <mergeCell ref="I264:J264"/>
    <mergeCell ref="I265:J265"/>
    <mergeCell ref="I266:J266"/>
    <mergeCell ref="I267:J267"/>
    <mergeCell ref="I221:J221"/>
    <mergeCell ref="I206:J206"/>
    <mergeCell ref="I207:J207"/>
    <mergeCell ref="I208:J208"/>
    <mergeCell ref="I209:J209"/>
    <mergeCell ref="I210:J210"/>
    <mergeCell ref="I211:J211"/>
    <mergeCell ref="I212:J212"/>
    <mergeCell ref="I213:J213"/>
    <mergeCell ref="I214:J214"/>
    <mergeCell ref="I215:J215"/>
    <mergeCell ref="I216:J216"/>
    <mergeCell ref="I217:J217"/>
    <mergeCell ref="I218:J218"/>
    <mergeCell ref="I219:J219"/>
    <mergeCell ref="I236:J236"/>
    <mergeCell ref="I237:J237"/>
    <mergeCell ref="I222:J222"/>
    <mergeCell ref="I223:J223"/>
    <mergeCell ref="I224:J224"/>
    <mergeCell ref="I225:J225"/>
    <mergeCell ref="I226:J226"/>
    <mergeCell ref="I227:J227"/>
    <mergeCell ref="I228:J228"/>
    <mergeCell ref="I229:J229"/>
    <mergeCell ref="I230:J230"/>
    <mergeCell ref="I231:J231"/>
    <mergeCell ref="I232:J232"/>
    <mergeCell ref="I233:J233"/>
    <mergeCell ref="I234:J234"/>
    <mergeCell ref="I235:J235"/>
    <mergeCell ref="I204:J204"/>
    <mergeCell ref="I205:J205"/>
    <mergeCell ref="I190:J190"/>
    <mergeCell ref="I191:J191"/>
    <mergeCell ref="I192:J192"/>
    <mergeCell ref="I193:J193"/>
    <mergeCell ref="I194:J194"/>
    <mergeCell ref="I195:J195"/>
    <mergeCell ref="I196:J196"/>
    <mergeCell ref="I197:J197"/>
    <mergeCell ref="I198:J198"/>
    <mergeCell ref="I199:J199"/>
    <mergeCell ref="I200:J200"/>
    <mergeCell ref="I201:J201"/>
    <mergeCell ref="I202:J202"/>
    <mergeCell ref="I203:J203"/>
    <mergeCell ref="I220:J220"/>
    <mergeCell ref="I173:J173"/>
    <mergeCell ref="I158:J158"/>
    <mergeCell ref="I159:J159"/>
    <mergeCell ref="I160:J160"/>
    <mergeCell ref="I161:J161"/>
    <mergeCell ref="I162:J162"/>
    <mergeCell ref="I163:J163"/>
    <mergeCell ref="I164:J164"/>
    <mergeCell ref="I165:J165"/>
    <mergeCell ref="I166:J166"/>
    <mergeCell ref="I167:J167"/>
    <mergeCell ref="I168:J168"/>
    <mergeCell ref="I169:J169"/>
    <mergeCell ref="I170:J170"/>
    <mergeCell ref="I171:J171"/>
    <mergeCell ref="I188:J188"/>
    <mergeCell ref="I189:J189"/>
    <mergeCell ref="I174:J174"/>
    <mergeCell ref="I175:J175"/>
    <mergeCell ref="I176:J176"/>
    <mergeCell ref="I177:J177"/>
    <mergeCell ref="I178:J178"/>
    <mergeCell ref="I179:J179"/>
    <mergeCell ref="I180:J180"/>
    <mergeCell ref="I181:J181"/>
    <mergeCell ref="I182:J182"/>
    <mergeCell ref="I183:J183"/>
    <mergeCell ref="I184:J184"/>
    <mergeCell ref="I185:J185"/>
    <mergeCell ref="I186:J186"/>
    <mergeCell ref="I187:J187"/>
    <mergeCell ref="I156:J156"/>
    <mergeCell ref="I157:J157"/>
    <mergeCell ref="I142:J142"/>
    <mergeCell ref="I143:J143"/>
    <mergeCell ref="I144:J144"/>
    <mergeCell ref="I145:J145"/>
    <mergeCell ref="I146:J146"/>
    <mergeCell ref="I147:J147"/>
    <mergeCell ref="I148:J148"/>
    <mergeCell ref="I149:J149"/>
    <mergeCell ref="I150:J150"/>
    <mergeCell ref="I151:J151"/>
    <mergeCell ref="I152:J152"/>
    <mergeCell ref="I153:J153"/>
    <mergeCell ref="I154:J154"/>
    <mergeCell ref="I155:J155"/>
    <mergeCell ref="I172:J172"/>
    <mergeCell ref="I125:J125"/>
    <mergeCell ref="I110:J110"/>
    <mergeCell ref="I111:J111"/>
    <mergeCell ref="I112:J112"/>
    <mergeCell ref="I113:J113"/>
    <mergeCell ref="I114:J114"/>
    <mergeCell ref="I115:J115"/>
    <mergeCell ref="I116:J116"/>
    <mergeCell ref="I117:J117"/>
    <mergeCell ref="I118:J118"/>
    <mergeCell ref="I119:J119"/>
    <mergeCell ref="I120:J120"/>
    <mergeCell ref="I121:J121"/>
    <mergeCell ref="I122:J122"/>
    <mergeCell ref="I123:J123"/>
    <mergeCell ref="I140:J140"/>
    <mergeCell ref="I141:J141"/>
    <mergeCell ref="I126:J126"/>
    <mergeCell ref="I127:J127"/>
    <mergeCell ref="I128:J128"/>
    <mergeCell ref="I129:J129"/>
    <mergeCell ref="I130:J130"/>
    <mergeCell ref="I131:J131"/>
    <mergeCell ref="I132:J132"/>
    <mergeCell ref="I133:J133"/>
    <mergeCell ref="I134:J134"/>
    <mergeCell ref="I135:J135"/>
    <mergeCell ref="I136:J136"/>
    <mergeCell ref="I137:J137"/>
    <mergeCell ref="I138:J138"/>
    <mergeCell ref="I139:J139"/>
    <mergeCell ref="I108:J108"/>
    <mergeCell ref="I109:J109"/>
    <mergeCell ref="I94:J94"/>
    <mergeCell ref="I95:J95"/>
    <mergeCell ref="I96:J96"/>
    <mergeCell ref="I97:J97"/>
    <mergeCell ref="I98:J98"/>
    <mergeCell ref="I99:J99"/>
    <mergeCell ref="I100:J100"/>
    <mergeCell ref="I101:J101"/>
    <mergeCell ref="I102:J102"/>
    <mergeCell ref="I103:J103"/>
    <mergeCell ref="I104:J104"/>
    <mergeCell ref="I105:J105"/>
    <mergeCell ref="I106:J106"/>
    <mergeCell ref="I107:J107"/>
    <mergeCell ref="I124:J124"/>
    <mergeCell ref="I67:J67"/>
    <mergeCell ref="I68:J68"/>
    <mergeCell ref="I69:J69"/>
    <mergeCell ref="I70:J70"/>
    <mergeCell ref="I71:J71"/>
    <mergeCell ref="I72:J72"/>
    <mergeCell ref="I73:J73"/>
    <mergeCell ref="I74:J74"/>
    <mergeCell ref="I75:J75"/>
    <mergeCell ref="I92:J92"/>
    <mergeCell ref="I93:J93"/>
    <mergeCell ref="I78:J78"/>
    <mergeCell ref="I79:J79"/>
    <mergeCell ref="I80:J80"/>
    <mergeCell ref="I81:J81"/>
    <mergeCell ref="I82:J82"/>
    <mergeCell ref="I83:J83"/>
    <mergeCell ref="I84:J84"/>
    <mergeCell ref="I85:J85"/>
    <mergeCell ref="I86:J86"/>
    <mergeCell ref="I87:J87"/>
    <mergeCell ref="I88:J88"/>
    <mergeCell ref="I89:J89"/>
    <mergeCell ref="I90:J90"/>
    <mergeCell ref="I91:J91"/>
    <mergeCell ref="L498:P498"/>
    <mergeCell ref="L499:P499"/>
    <mergeCell ref="L500:P500"/>
    <mergeCell ref="I29:J29"/>
    <mergeCell ref="I30:J30"/>
    <mergeCell ref="I31:J31"/>
    <mergeCell ref="I32:J32"/>
    <mergeCell ref="I36:J36"/>
    <mergeCell ref="I37:J37"/>
    <mergeCell ref="I38:J38"/>
    <mergeCell ref="I33:J33"/>
    <mergeCell ref="I34:J34"/>
    <mergeCell ref="I35:J35"/>
    <mergeCell ref="I50:J50"/>
    <mergeCell ref="I41:J41"/>
    <mergeCell ref="I42:J42"/>
    <mergeCell ref="I43:J43"/>
    <mergeCell ref="I44:J44"/>
    <mergeCell ref="I45:J45"/>
    <mergeCell ref="I39:J39"/>
    <mergeCell ref="I60:J60"/>
    <mergeCell ref="I61:J61"/>
    <mergeCell ref="I53:J53"/>
    <mergeCell ref="I46:J46"/>
    <mergeCell ref="I47:J47"/>
    <mergeCell ref="I48:J48"/>
    <mergeCell ref="I49:J49"/>
    <mergeCell ref="I51:J51"/>
    <mergeCell ref="I52:J52"/>
    <mergeCell ref="I54:J54"/>
    <mergeCell ref="I55:J55"/>
    <mergeCell ref="I56:J56"/>
    <mergeCell ref="L368:P368"/>
    <mergeCell ref="L369:P369"/>
    <mergeCell ref="L362:P362"/>
    <mergeCell ref="L363:P363"/>
    <mergeCell ref="L364:P364"/>
    <mergeCell ref="L365:P365"/>
    <mergeCell ref="L377:P377"/>
    <mergeCell ref="L381:P381"/>
    <mergeCell ref="L370:P370"/>
    <mergeCell ref="L371:P371"/>
    <mergeCell ref="L372:P372"/>
    <mergeCell ref="L373:P373"/>
    <mergeCell ref="I40:J40"/>
    <mergeCell ref="L391:P391"/>
    <mergeCell ref="L392:P392"/>
    <mergeCell ref="L386:P386"/>
    <mergeCell ref="L378:P378"/>
    <mergeCell ref="L379:P379"/>
    <mergeCell ref="L380:P380"/>
    <mergeCell ref="L374:P374"/>
    <mergeCell ref="L375:P375"/>
    <mergeCell ref="L376:P376"/>
    <mergeCell ref="I57:J57"/>
    <mergeCell ref="I58:J58"/>
    <mergeCell ref="I59:J59"/>
    <mergeCell ref="I76:J76"/>
    <mergeCell ref="I77:J77"/>
    <mergeCell ref="I62:J62"/>
    <mergeCell ref="I63:J63"/>
    <mergeCell ref="I64:J64"/>
    <mergeCell ref="I65:J65"/>
    <mergeCell ref="I66:J66"/>
    <mergeCell ref="L351:P351"/>
    <mergeCell ref="L352:P352"/>
    <mergeCell ref="L353:P353"/>
    <mergeCell ref="L346:P346"/>
    <mergeCell ref="L347:P347"/>
    <mergeCell ref="L348:P348"/>
    <mergeCell ref="L349:P349"/>
    <mergeCell ref="L358:P358"/>
    <mergeCell ref="L359:P359"/>
    <mergeCell ref="L360:P360"/>
    <mergeCell ref="L361:P361"/>
    <mergeCell ref="L354:P354"/>
    <mergeCell ref="L355:P355"/>
    <mergeCell ref="L356:P356"/>
    <mergeCell ref="L357:P357"/>
    <mergeCell ref="L366:P366"/>
    <mergeCell ref="L367:P367"/>
    <mergeCell ref="L334:P334"/>
    <mergeCell ref="L335:P335"/>
    <mergeCell ref="L336:P336"/>
    <mergeCell ref="L337:P337"/>
    <mergeCell ref="L330:P330"/>
    <mergeCell ref="L331:P331"/>
    <mergeCell ref="L332:P332"/>
    <mergeCell ref="L333:P333"/>
    <mergeCell ref="L342:P342"/>
    <mergeCell ref="L343:P343"/>
    <mergeCell ref="L344:P344"/>
    <mergeCell ref="L345:P345"/>
    <mergeCell ref="L338:P338"/>
    <mergeCell ref="L339:P339"/>
    <mergeCell ref="L340:P340"/>
    <mergeCell ref="L341:P341"/>
    <mergeCell ref="L350:P350"/>
    <mergeCell ref="L313:P313"/>
    <mergeCell ref="L306:P306"/>
    <mergeCell ref="L307:P307"/>
    <mergeCell ref="L308:P308"/>
    <mergeCell ref="L309:P309"/>
    <mergeCell ref="L318:P318"/>
    <mergeCell ref="L319:P319"/>
    <mergeCell ref="L320:P320"/>
    <mergeCell ref="L321:P321"/>
    <mergeCell ref="L314:P314"/>
    <mergeCell ref="L315:P315"/>
    <mergeCell ref="L316:P316"/>
    <mergeCell ref="L317:P317"/>
    <mergeCell ref="L326:P326"/>
    <mergeCell ref="L327:P327"/>
    <mergeCell ref="L328:P328"/>
    <mergeCell ref="L329:P329"/>
    <mergeCell ref="L322:P322"/>
    <mergeCell ref="L323:P323"/>
    <mergeCell ref="L324:P324"/>
    <mergeCell ref="L325:P325"/>
    <mergeCell ref="L296:P296"/>
    <mergeCell ref="L297:P297"/>
    <mergeCell ref="L290:P290"/>
    <mergeCell ref="L291:P291"/>
    <mergeCell ref="L292:P292"/>
    <mergeCell ref="L293:P293"/>
    <mergeCell ref="L302:P302"/>
    <mergeCell ref="L303:P303"/>
    <mergeCell ref="L304:P304"/>
    <mergeCell ref="L305:P305"/>
    <mergeCell ref="L298:P298"/>
    <mergeCell ref="L299:P299"/>
    <mergeCell ref="L300:P300"/>
    <mergeCell ref="L301:P301"/>
    <mergeCell ref="L310:P310"/>
    <mergeCell ref="L311:P311"/>
    <mergeCell ref="L312:P312"/>
    <mergeCell ref="L279:P279"/>
    <mergeCell ref="L280:P280"/>
    <mergeCell ref="L281:P281"/>
    <mergeCell ref="L274:P274"/>
    <mergeCell ref="L275:P275"/>
    <mergeCell ref="L276:P276"/>
    <mergeCell ref="L277:P277"/>
    <mergeCell ref="L286:P286"/>
    <mergeCell ref="L287:P287"/>
    <mergeCell ref="L288:P288"/>
    <mergeCell ref="L289:P289"/>
    <mergeCell ref="L282:P282"/>
    <mergeCell ref="L283:P283"/>
    <mergeCell ref="L284:P284"/>
    <mergeCell ref="L285:P285"/>
    <mergeCell ref="L294:P294"/>
    <mergeCell ref="L295:P295"/>
    <mergeCell ref="L262:P262"/>
    <mergeCell ref="L263:P263"/>
    <mergeCell ref="L264:P264"/>
    <mergeCell ref="L265:P265"/>
    <mergeCell ref="L258:P258"/>
    <mergeCell ref="L259:P259"/>
    <mergeCell ref="L260:P260"/>
    <mergeCell ref="L261:P261"/>
    <mergeCell ref="L270:P270"/>
    <mergeCell ref="L271:P271"/>
    <mergeCell ref="L272:P272"/>
    <mergeCell ref="L273:P273"/>
    <mergeCell ref="L266:P266"/>
    <mergeCell ref="L267:P267"/>
    <mergeCell ref="L268:P268"/>
    <mergeCell ref="L269:P269"/>
    <mergeCell ref="L278:P278"/>
    <mergeCell ref="L241:P241"/>
    <mergeCell ref="L234:P234"/>
    <mergeCell ref="L235:P235"/>
    <mergeCell ref="L236:P236"/>
    <mergeCell ref="L237:P237"/>
    <mergeCell ref="L246:P246"/>
    <mergeCell ref="L247:P247"/>
    <mergeCell ref="L248:P248"/>
    <mergeCell ref="L249:P249"/>
    <mergeCell ref="L242:P242"/>
    <mergeCell ref="L243:P243"/>
    <mergeCell ref="L244:P244"/>
    <mergeCell ref="L245:P245"/>
    <mergeCell ref="L254:P254"/>
    <mergeCell ref="L255:P255"/>
    <mergeCell ref="L256:P256"/>
    <mergeCell ref="L257:P257"/>
    <mergeCell ref="L250:P250"/>
    <mergeCell ref="L251:P251"/>
    <mergeCell ref="L252:P252"/>
    <mergeCell ref="L253:P253"/>
    <mergeCell ref="L224:P224"/>
    <mergeCell ref="L225:P225"/>
    <mergeCell ref="L218:P218"/>
    <mergeCell ref="L219:P219"/>
    <mergeCell ref="L220:P220"/>
    <mergeCell ref="L221:P221"/>
    <mergeCell ref="L230:P230"/>
    <mergeCell ref="L231:P231"/>
    <mergeCell ref="L232:P232"/>
    <mergeCell ref="L233:P233"/>
    <mergeCell ref="L226:P226"/>
    <mergeCell ref="L227:P227"/>
    <mergeCell ref="L228:P228"/>
    <mergeCell ref="L229:P229"/>
    <mergeCell ref="L238:P238"/>
    <mergeCell ref="L239:P239"/>
    <mergeCell ref="L240:P240"/>
    <mergeCell ref="L207:P207"/>
    <mergeCell ref="L208:P208"/>
    <mergeCell ref="L209:P209"/>
    <mergeCell ref="L202:P202"/>
    <mergeCell ref="L203:P203"/>
    <mergeCell ref="L204:P204"/>
    <mergeCell ref="L205:P205"/>
    <mergeCell ref="L214:P214"/>
    <mergeCell ref="L215:P215"/>
    <mergeCell ref="L216:P216"/>
    <mergeCell ref="L217:P217"/>
    <mergeCell ref="L210:P210"/>
    <mergeCell ref="L211:P211"/>
    <mergeCell ref="L212:P212"/>
    <mergeCell ref="L213:P213"/>
    <mergeCell ref="L222:P222"/>
    <mergeCell ref="L223:P223"/>
    <mergeCell ref="L190:P190"/>
    <mergeCell ref="L191:P191"/>
    <mergeCell ref="L192:P192"/>
    <mergeCell ref="L193:P193"/>
    <mergeCell ref="L186:P186"/>
    <mergeCell ref="L187:P187"/>
    <mergeCell ref="L188:P188"/>
    <mergeCell ref="L189:P189"/>
    <mergeCell ref="L198:P198"/>
    <mergeCell ref="L199:P199"/>
    <mergeCell ref="L200:P200"/>
    <mergeCell ref="L201:P201"/>
    <mergeCell ref="L194:P194"/>
    <mergeCell ref="L195:P195"/>
    <mergeCell ref="L196:P196"/>
    <mergeCell ref="L197:P197"/>
    <mergeCell ref="L206:P206"/>
    <mergeCell ref="L169:P169"/>
    <mergeCell ref="L162:P162"/>
    <mergeCell ref="L163:P163"/>
    <mergeCell ref="L164:P164"/>
    <mergeCell ref="L165:P165"/>
    <mergeCell ref="L174:P174"/>
    <mergeCell ref="L175:P175"/>
    <mergeCell ref="L176:P176"/>
    <mergeCell ref="L177:P177"/>
    <mergeCell ref="L170:P170"/>
    <mergeCell ref="L171:P171"/>
    <mergeCell ref="L172:P172"/>
    <mergeCell ref="L173:P173"/>
    <mergeCell ref="L182:P182"/>
    <mergeCell ref="L183:P183"/>
    <mergeCell ref="L184:P184"/>
    <mergeCell ref="L185:P185"/>
    <mergeCell ref="L178:P178"/>
    <mergeCell ref="L179:P179"/>
    <mergeCell ref="L180:P180"/>
    <mergeCell ref="L181:P181"/>
    <mergeCell ref="L152:P152"/>
    <mergeCell ref="L153:P153"/>
    <mergeCell ref="L146:P146"/>
    <mergeCell ref="L147:P147"/>
    <mergeCell ref="L148:P148"/>
    <mergeCell ref="L149:P149"/>
    <mergeCell ref="L158:P158"/>
    <mergeCell ref="L159:P159"/>
    <mergeCell ref="L160:P160"/>
    <mergeCell ref="L161:P161"/>
    <mergeCell ref="L154:P154"/>
    <mergeCell ref="L155:P155"/>
    <mergeCell ref="L156:P156"/>
    <mergeCell ref="L157:P157"/>
    <mergeCell ref="L166:P166"/>
    <mergeCell ref="L167:P167"/>
    <mergeCell ref="L168:P168"/>
    <mergeCell ref="L135:P135"/>
    <mergeCell ref="L136:P136"/>
    <mergeCell ref="L137:P137"/>
    <mergeCell ref="L130:P130"/>
    <mergeCell ref="L131:P131"/>
    <mergeCell ref="L132:P132"/>
    <mergeCell ref="L133:P133"/>
    <mergeCell ref="L142:P142"/>
    <mergeCell ref="L143:P143"/>
    <mergeCell ref="L144:P144"/>
    <mergeCell ref="L145:P145"/>
    <mergeCell ref="L138:P138"/>
    <mergeCell ref="L139:P139"/>
    <mergeCell ref="L140:P140"/>
    <mergeCell ref="L141:P141"/>
    <mergeCell ref="L150:P150"/>
    <mergeCell ref="L151:P151"/>
    <mergeCell ref="L118:P118"/>
    <mergeCell ref="L119:P119"/>
    <mergeCell ref="L120:P120"/>
    <mergeCell ref="L121:P121"/>
    <mergeCell ref="L114:P114"/>
    <mergeCell ref="L115:P115"/>
    <mergeCell ref="L116:P116"/>
    <mergeCell ref="L117:P117"/>
    <mergeCell ref="L126:P126"/>
    <mergeCell ref="L127:P127"/>
    <mergeCell ref="L128:P128"/>
    <mergeCell ref="L129:P129"/>
    <mergeCell ref="L122:P122"/>
    <mergeCell ref="L123:P123"/>
    <mergeCell ref="L124:P124"/>
    <mergeCell ref="L125:P125"/>
    <mergeCell ref="L134:P134"/>
    <mergeCell ref="L97:P97"/>
    <mergeCell ref="L90:P90"/>
    <mergeCell ref="L91:P91"/>
    <mergeCell ref="L92:P92"/>
    <mergeCell ref="L93:P93"/>
    <mergeCell ref="L102:P102"/>
    <mergeCell ref="L103:P103"/>
    <mergeCell ref="L104:P104"/>
    <mergeCell ref="L105:P105"/>
    <mergeCell ref="L98:P98"/>
    <mergeCell ref="L99:P99"/>
    <mergeCell ref="L100:P100"/>
    <mergeCell ref="L101:P101"/>
    <mergeCell ref="L110:P110"/>
    <mergeCell ref="L111:P111"/>
    <mergeCell ref="L112:P112"/>
    <mergeCell ref="L113:P113"/>
    <mergeCell ref="L106:P106"/>
    <mergeCell ref="L107:P107"/>
    <mergeCell ref="L108:P108"/>
    <mergeCell ref="L109:P109"/>
    <mergeCell ref="L80:P80"/>
    <mergeCell ref="L81:P81"/>
    <mergeCell ref="L74:P74"/>
    <mergeCell ref="L75:P75"/>
    <mergeCell ref="L76:P76"/>
    <mergeCell ref="L77:P77"/>
    <mergeCell ref="L86:P86"/>
    <mergeCell ref="L87:P87"/>
    <mergeCell ref="L88:P88"/>
    <mergeCell ref="L89:P89"/>
    <mergeCell ref="L82:P82"/>
    <mergeCell ref="L83:P83"/>
    <mergeCell ref="L84:P84"/>
    <mergeCell ref="L85:P85"/>
    <mergeCell ref="L94:P94"/>
    <mergeCell ref="L95:P95"/>
    <mergeCell ref="L96:P96"/>
    <mergeCell ref="L63:P63"/>
    <mergeCell ref="L64:P64"/>
    <mergeCell ref="L65:P65"/>
    <mergeCell ref="L58:P58"/>
    <mergeCell ref="L59:P59"/>
    <mergeCell ref="L60:P60"/>
    <mergeCell ref="L61:P61"/>
    <mergeCell ref="L70:P70"/>
    <mergeCell ref="L71:P71"/>
    <mergeCell ref="L72:P72"/>
    <mergeCell ref="L73:P73"/>
    <mergeCell ref="L66:P66"/>
    <mergeCell ref="L67:P67"/>
    <mergeCell ref="L68:P68"/>
    <mergeCell ref="L69:P69"/>
    <mergeCell ref="L78:P78"/>
    <mergeCell ref="L79:P79"/>
    <mergeCell ref="L46:P46"/>
    <mergeCell ref="L47:P47"/>
    <mergeCell ref="L48:P48"/>
    <mergeCell ref="L49:P49"/>
    <mergeCell ref="L42:P42"/>
    <mergeCell ref="L43:P43"/>
    <mergeCell ref="L44:P44"/>
    <mergeCell ref="L45:P45"/>
    <mergeCell ref="L54:P54"/>
    <mergeCell ref="L55:P55"/>
    <mergeCell ref="L56:P56"/>
    <mergeCell ref="L57:P57"/>
    <mergeCell ref="L50:P50"/>
    <mergeCell ref="L51:P51"/>
    <mergeCell ref="L52:P52"/>
    <mergeCell ref="L53:P53"/>
    <mergeCell ref="L62:P62"/>
    <mergeCell ref="L39:P39"/>
    <mergeCell ref="L40:P40"/>
    <mergeCell ref="K16:K17"/>
    <mergeCell ref="N20:Q20"/>
    <mergeCell ref="C30:D30"/>
    <mergeCell ref="C31:D31"/>
    <mergeCell ref="C32:D32"/>
    <mergeCell ref="C35:D35"/>
    <mergeCell ref="C40:D40"/>
    <mergeCell ref="C37:D37"/>
    <mergeCell ref="C38:D38"/>
    <mergeCell ref="C36:D36"/>
    <mergeCell ref="C33:D33"/>
    <mergeCell ref="C34:D34"/>
    <mergeCell ref="C39:D39"/>
    <mergeCell ref="H26:H28"/>
    <mergeCell ref="L41:P41"/>
    <mergeCell ref="L34:P34"/>
    <mergeCell ref="L35:P35"/>
    <mergeCell ref="L36:P36"/>
    <mergeCell ref="L37:P37"/>
    <mergeCell ref="I26:J28"/>
    <mergeCell ref="G1:L2"/>
    <mergeCell ref="G3:L3"/>
    <mergeCell ref="C29:D29"/>
    <mergeCell ref="L29:P29"/>
    <mergeCell ref="L26:P28"/>
    <mergeCell ref="E26:E28"/>
    <mergeCell ref="F26:F28"/>
    <mergeCell ref="G26:G28"/>
    <mergeCell ref="K26:K28"/>
    <mergeCell ref="L30:P30"/>
    <mergeCell ref="L31:P31"/>
    <mergeCell ref="L32:P32"/>
    <mergeCell ref="L33:P33"/>
    <mergeCell ref="J10:Q10"/>
    <mergeCell ref="O11:Q11"/>
    <mergeCell ref="J11:M11"/>
    <mergeCell ref="L38:P38"/>
    <mergeCell ref="C6:D6"/>
  </mergeCells>
  <phoneticPr fontId="4" type="noConversion"/>
  <dataValidations count="21">
    <dataValidation type="list" allowBlank="1" showInputMessage="1" showErrorMessage="1" sqref="H31:H500" xr:uid="{00000000-0002-0000-0300-000000000000}">
      <formula1>OFFSET(IF(LANG3="ENGLISH_I_ANGLAIS",ENGLISH_I_ANGLAISWUN,IF(LANG3="CODE",CODEWUN,FRANÇAIS_I_FRENCHWUN)),,)</formula1>
    </dataValidation>
    <dataValidation type="list" allowBlank="1" showInputMessage="1" showErrorMessage="1" error="Please put a valid size category/ S'il vous plait mettez un valide categorie de taille" sqref="I31:J500" xr:uid="{00000000-0002-0000-0300-000001000000}">
      <formula1>OFFSET(IF(LANG3="ENGLISH_I_ANGLAIS",ENGLISH_I_ANGLAISSZCA,IF(LANG3="CODE",CODESZCA,FRANÇAIS_I_FRENCHSZCA)),,)</formula1>
    </dataValidation>
    <dataValidation type="list" allowBlank="1" showInputMessage="1" showErrorMessage="1" error="Please select a size category/ S'il vous plaît sélectionnez une catégorie de taille " sqref="I29:J30" xr:uid="{00000000-0002-0000-0300-000002000000}">
      <formula1>OFFSET(IF(LANG3="ENGLISH_I_ANGLAIS",ENGLISH_I_ANGLAISSZCA,IF(LANG3="CODE",CODESZCA,FRANÇAIS_I_FRENCHSZCA)),,)</formula1>
    </dataValidation>
    <dataValidation type="list" allowBlank="1" showInputMessage="1" showErrorMessage="1" error="Please select a weight unit/ S'il vous plaît sélectionnez une unité de poids" sqref="H29:H30" xr:uid="{00000000-0002-0000-0300-000003000000}">
      <formula1>OFFSET(IF(LANG3="ENGLISH_I_ANGLAIS",ENGLISH_I_ANGLAISWUN,IF(LANG3="CODE",CODEWUN,FRANÇAIS_I_FRENCHWUN)),,)</formula1>
    </dataValidation>
    <dataValidation type="list" showInputMessage="1" showErrorMessage="1" error="Please select a currency or input new in CUR table /S'il vous plaît choisir une monnaie ou l'entrée de nouveaux dans le tableau CUR" sqref="G20" xr:uid="{00000000-0002-0000-0300-000004000000}">
      <formula1>OFFSET(IF(LANG3="ENGLISH_I_ANGLAIS",ENGLISH_I_ANGLAISCUR,IF(LANG3="CODE",CODECUR,FRANÇAIS_I_FRENCHCUR)),,)</formula1>
    </dataValidation>
    <dataValidation type="list" allowBlank="1" showInputMessage="1" showErrorMessage="1" sqref="A26" xr:uid="{00000000-0002-0000-0300-000005000000}">
      <formula1>period</formula1>
    </dataValidation>
    <dataValidation allowBlank="1" showInputMessage="1" showErrorMessage="1" prompt="Select Species" sqref="C26" xr:uid="{00000000-0002-0000-0300-000006000000}"/>
    <dataValidation allowBlank="1" showInputMessage="1" showErrorMessage="1" error="Please open &quot;COV&quot; worksheet to input new &quot;Coverage&quot; method/ S'il vous plait ouvrez le &quot;COV&quot; feuille pour ajouter nouveau method de &quot;Coverture&quot;" sqref="R21:U21 R19:U19" xr:uid="{00000000-0002-0000-0300-000007000000}"/>
    <dataValidation type="list" allowBlank="1" showInputMessage="1" showErrorMessage="1" sqref="C19" xr:uid="{00000000-0002-0000-0300-000008000000}">
      <formula1>OFFSET(IF(LANG3="ENGLISH_I_ANGLAIS",ENGLISH_I_ANGLAISOCE,IF(LANG3="CODE",CodeOCE,FRANÇAIS_I_FRENCHOCE)),,)</formula1>
    </dataValidation>
    <dataValidation type="list" showInputMessage="1" showErrorMessage="1" error="Please select a fish processing method/ S'il vous plaît sélectionnez un traitement de poisson   " sqref="E29:E500" xr:uid="{00000000-0002-0000-0300-000009000000}">
      <formula1>OFFSET(IF(LANG3="ENGLISH_I_ANGLAIS",ENGLISH_I_ANGLAISFPR,IF(LANG3="CODE",CODEFPR,FRANÇAIS_I_FRENCHFPR)),,)</formula1>
    </dataValidation>
    <dataValidation type="list" allowBlank="1" showInputMessage="1" showErrorMessage="1" error="Please open &quot;TYPR&quot; worksheet to input new product type/ S'il vous plait ouvrez le &quot;TYPR&quot; feuille pour ajouter nouveau type de produit" sqref="F29:F500" xr:uid="{00000000-0002-0000-0300-00000B000000}">
      <formula1>OFFSET(IF(LANG3="ENGLISH_I_ANGLAIS",ENGLISH_I_ANGLAISTYPR,IF(LANG3="CODE",CODETYPR,FRANÇAIS_I_FRENCHTYPR)),,)</formula1>
    </dataValidation>
    <dataValidation type="list" allowBlank="1" showInputMessage="1" showErrorMessage="1" error="Please select a fish preservation method / S'il vous plaît choisir une méthode de préservation " sqref="G29:G500" xr:uid="{00000000-0002-0000-0300-00000C000000}">
      <formula1>OFFSET(IF(LANG3="ENGLISH_I_ANGLAIS",ENGLISH_I_ANGLAISFPRV,IF(LANG3="CODE",CODEFPRV,FRANÇAIS_I_FRENCHFPRV)),,)</formula1>
    </dataValidation>
    <dataValidation type="whole" allowBlank="1" showInputMessage="1" showErrorMessage="1" sqref="A29:B500" xr:uid="{00000000-0002-0000-0300-00000D000000}">
      <formula1>IF($A$26="Month/Mois",1,IF($A$26="Year/Année",1950,""))</formula1>
      <formula2>IF($A$26="Month/Mois",12,IF($A$26="Year/Année",(YEAR(NOW())-1),""))</formula2>
    </dataValidation>
    <dataValidation type="list" allowBlank="1" showInputMessage="1" showErrorMessage="1" sqref="C6" xr:uid="{00000000-0002-0000-0300-00000E000000}">
      <formula1>LANG</formula1>
    </dataValidation>
    <dataValidation allowBlank="1" showInputMessage="1" showErrorMessage="1" error="Please open &quot;FLG&quot; worksheet to input new Flag country/ S'il vous plait ouvrez le &quot;FLG&quot; feuille pour ajouter nouveau pavillon pays" sqref="F16:G17" xr:uid="{00000000-0002-0000-0300-00000F000000}"/>
    <dataValidation type="date" allowBlank="1" showInputMessage="1" showErrorMessage="1" sqref="L16:M17" xr:uid="{00000000-0002-0000-0300-000010000000}">
      <formula1>YEAR(1950)</formula1>
      <formula2>YEAR(NOW())</formula2>
    </dataValidation>
    <dataValidation type="list" showInputMessage="1" showErrorMessage="1" error="Please select an ocean/ S'il vous plaît sélectionnez un océan  " sqref="C18:D18" xr:uid="{00000000-0002-0000-0300-000011000000}">
      <formula1>OFFSET(IF(LANG3="ENGLISH_I_ANGLAIS",ENGLISH_I_ANGLAISOCE,IF(LANG3="CODE",CodeOCE,FRANÇAIS_I_FRENCHOCE)),,)</formula1>
    </dataValidation>
    <dataValidation type="list" showInputMessage="1" showErrorMessage="1" error="Please open &quot;FLG&quot; worksheet to view details of Flag country/ S'il vous plait ouvrez le &quot;FLG&quot; feuille pour voir les détails de pavillon pays" sqref="C16:E17" xr:uid="{00000000-0002-0000-0300-000012000000}">
      <formula1>OFFSET(IF(LANG3="ENGLISH_I_ANGLAIS",ENGLISH_I_ANGLAISFLG,IF(LANG3="CODE",CODEFLG,FRANÇAIS_I_FRENCHFLG)),,)</formula1>
    </dataValidation>
    <dataValidation type="list" showInputMessage="1" showErrorMessage="1" error="Please select a pricing location / S'il vous plaît sélectionnez un lieu où le tarife a été pris" sqref="D20:E20" xr:uid="{00000000-0002-0000-0300-000013000000}">
      <formula1>OFFSET(IF(LANG3="ENGLISH_I_ANGLAIS",ENGLISH_I_ANGLAISPPL,IF(LANG3="CODE",CodePPL,FRANÇAIS_I_FRENCHPPL)),,)</formula1>
    </dataValidation>
    <dataValidation type="list" showInputMessage="1" showErrorMessage="1" error="Please open &quot;FDES&quot; worksheet to input new destination/ S'il vous plait ouvrez le &quot;FDES&quot; feuille pour ajouter nouveau destination_x000a__x000a_" sqref="J20:K20" xr:uid="{00000000-0002-0000-0300-000014000000}">
      <formula1>OFFSET(IF(LANG3="ENGLISH_I_ANGLAIS",ENGLISH_I_ANGLAISPDES,IF(LANG3="CODE",CODEPDES,FRANÇAIS_I_FRENCHPDES)),,)</formula1>
    </dataValidation>
    <dataValidation type="list" showErrorMessage="1" error="Please open the &quot;SPC&quot; worksheet to input new Species/ S'il vous plait ouvrez le &quot;SPC&quot; feuille pour ajouter nouveaux Espèces" prompt="_x000a_" sqref="C29:D500" xr:uid="{D01A1DEA-B867-4717-B29B-EAA45B1A8285}">
      <formula1>OFFSET(IF(LANG3="ENGLISH_I_ANGLAIS",ENGLISH_I_ANGLAISSPC,IF(LANG3="CODE",CODESPC,FRANÇAIS_I_FRENCHSPC)),,)</formula1>
    </dataValidation>
  </dataValidations>
  <pageMargins left="0.75" right="0.75" top="1" bottom="1" header="0.5" footer="0.5"/>
  <pageSetup paperSize="9" orientation="portrait" horizontalDpi="1200" verticalDpi="1200" r:id="rId1"/>
  <headerFooter alignWithMargins="0"/>
  <ignoredErrors>
    <ignoredError sqref="A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6" r:id="rId4" name="Check Box 42">
              <controlPr locked="0" defaultSize="0" autoFill="0" autoLine="0" autoPict="0">
                <anchor moveWithCells="1">
                  <from>
                    <xdr:col>0</xdr:col>
                    <xdr:colOff>47625</xdr:colOff>
                    <xdr:row>3</xdr:row>
                    <xdr:rowOff>161925</xdr:rowOff>
                  </from>
                  <to>
                    <xdr:col>1</xdr:col>
                    <xdr:colOff>1295400</xdr:colOff>
                    <xdr:row>4</xdr:row>
                    <xdr:rowOff>200025</xdr:rowOff>
                  </to>
                </anchor>
              </controlPr>
            </control>
          </mc:Choice>
        </mc:AlternateContent>
        <mc:AlternateContent xmlns:mc="http://schemas.openxmlformats.org/markup-compatibility/2006">
          <mc:Choice Requires="x14">
            <control shapeId="1159" r:id="rId5" name="Check Box 135">
              <controlPr locked="0" defaultSize="0" autoFill="0" autoLine="0" autoPict="0">
                <anchor moveWithCells="1">
                  <from>
                    <xdr:col>0</xdr:col>
                    <xdr:colOff>47625</xdr:colOff>
                    <xdr:row>3</xdr:row>
                    <xdr:rowOff>161925</xdr:rowOff>
                  </from>
                  <to>
                    <xdr:col>1</xdr:col>
                    <xdr:colOff>1295400</xdr:colOff>
                    <xdr:row>4</xdr:row>
                    <xdr:rowOff>200025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indexed="10"/>
  </sheetPr>
  <dimension ref="A1:L4"/>
  <sheetViews>
    <sheetView workbookViewId="0">
      <selection activeCell="K1" sqref="K1"/>
    </sheetView>
  </sheetViews>
  <sheetFormatPr defaultColWidth="9.140625" defaultRowHeight="12.75" x14ac:dyDescent="0.2"/>
  <cols>
    <col min="1" max="1" width="9.140625" style="1"/>
    <col min="2" max="2" width="21.140625" style="1" customWidth="1"/>
    <col min="3" max="3" width="25.28515625" style="1" customWidth="1"/>
    <col min="4" max="16384" width="9.140625" style="1"/>
  </cols>
  <sheetData>
    <row r="1" spans="1:12" ht="18" x14ac:dyDescent="0.2">
      <c r="A1" s="2" t="s">
        <v>925</v>
      </c>
      <c r="B1" s="2" t="s">
        <v>1347</v>
      </c>
      <c r="C1" s="2" t="s">
        <v>1348</v>
      </c>
      <c r="G1" s="37"/>
      <c r="K1" s="93">
        <v>1</v>
      </c>
      <c r="L1" s="37" t="s">
        <v>921</v>
      </c>
    </row>
    <row r="2" spans="1:12" x14ac:dyDescent="0.2">
      <c r="A2" s="3" t="s">
        <v>103</v>
      </c>
      <c r="B2" s="3" t="s">
        <v>1349</v>
      </c>
      <c r="C2" s="3" t="s">
        <v>1350</v>
      </c>
    </row>
    <row r="3" spans="1:12" x14ac:dyDescent="0.2">
      <c r="A3" s="3" t="s">
        <v>926</v>
      </c>
      <c r="B3" s="3" t="s">
        <v>1351</v>
      </c>
      <c r="C3" s="3" t="s">
        <v>1352</v>
      </c>
      <c r="F3" s="45"/>
    </row>
    <row r="4" spans="1:12" x14ac:dyDescent="0.2">
      <c r="A4" s="3" t="s">
        <v>924</v>
      </c>
      <c r="B4" s="3" t="s">
        <v>1353</v>
      </c>
      <c r="C4" s="3" t="s">
        <v>1354</v>
      </c>
    </row>
  </sheetData>
  <sheetProtection algorithmName="SHA-512" hashValue="wVUv78iHrk47FjPVu50zePkyzInc4anjrqaI/BSI55KzTOuF4+ZqMRBPUlNe2g61eGAcPsbzLjOEJnLAIezqwg==" saltValue="AI3aHag/REt69h2Lb4KIBw==" spinCount="100000" sheet="1" objects="1" scenarios="1"/>
  <sortState xmlns:xlrd2="http://schemas.microsoft.com/office/spreadsheetml/2017/richdata2" ref="A1:J4">
    <sortCondition ref="A1"/>
  </sortState>
  <phoneticPr fontId="22" type="noConversion"/>
  <hyperlinks>
    <hyperlink ref="K1" location="PRICE!A1" display="1" xr:uid="{00000000-0004-0000-0400-000000000000}"/>
  </hyperlink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L22"/>
  <sheetViews>
    <sheetView workbookViewId="0">
      <selection activeCell="K1" sqref="K1"/>
    </sheetView>
  </sheetViews>
  <sheetFormatPr defaultColWidth="9.140625" defaultRowHeight="12.75" x14ac:dyDescent="0.2"/>
  <cols>
    <col min="1" max="1" width="9.140625" style="1"/>
    <col min="2" max="2" width="15" style="1" customWidth="1"/>
    <col min="3" max="3" width="15.42578125" style="1" customWidth="1"/>
    <col min="4" max="16384" width="9.140625" style="1"/>
  </cols>
  <sheetData>
    <row r="1" spans="1:12" ht="25.5" x14ac:dyDescent="0.2">
      <c r="A1" s="48" t="s">
        <v>1359</v>
      </c>
      <c r="B1" s="48" t="s">
        <v>1360</v>
      </c>
      <c r="C1" s="48" t="s">
        <v>1361</v>
      </c>
      <c r="F1" s="45"/>
      <c r="G1" s="37"/>
      <c r="K1" s="93">
        <v>1</v>
      </c>
      <c r="L1" s="37" t="s">
        <v>921</v>
      </c>
    </row>
    <row r="2" spans="1:12" ht="25.5" x14ac:dyDescent="0.2">
      <c r="A2" s="43" t="s">
        <v>1362</v>
      </c>
      <c r="B2" s="43" t="s">
        <v>1363</v>
      </c>
      <c r="C2" s="43" t="s">
        <v>1364</v>
      </c>
    </row>
    <row r="3" spans="1:12" ht="25.5" x14ac:dyDescent="0.2">
      <c r="A3" s="43" t="s">
        <v>1365</v>
      </c>
      <c r="B3" s="43" t="s">
        <v>1366</v>
      </c>
      <c r="C3" s="43" t="s">
        <v>1367</v>
      </c>
    </row>
    <row r="4" spans="1:12" x14ac:dyDescent="0.2">
      <c r="A4" s="100"/>
      <c r="B4" s="70"/>
      <c r="C4" s="70"/>
    </row>
    <row r="5" spans="1:12" x14ac:dyDescent="0.2">
      <c r="A5" s="70"/>
      <c r="B5" s="70"/>
      <c r="C5" s="70"/>
    </row>
    <row r="6" spans="1:12" x14ac:dyDescent="0.2">
      <c r="A6" s="70"/>
      <c r="B6" s="70"/>
      <c r="C6" s="70"/>
      <c r="G6" s="44"/>
    </row>
    <row r="7" spans="1:12" x14ac:dyDescent="0.2">
      <c r="A7" s="70"/>
      <c r="B7" s="70"/>
      <c r="C7" s="70"/>
    </row>
    <row r="8" spans="1:12" x14ac:dyDescent="0.2">
      <c r="A8" s="70"/>
      <c r="B8" s="70"/>
      <c r="C8" s="70"/>
    </row>
    <row r="9" spans="1:12" x14ac:dyDescent="0.2">
      <c r="A9" s="70"/>
      <c r="B9" s="70"/>
      <c r="C9" s="70"/>
    </row>
    <row r="10" spans="1:12" x14ac:dyDescent="0.2">
      <c r="A10" s="70"/>
      <c r="B10" s="70"/>
      <c r="C10" s="70"/>
    </row>
    <row r="11" spans="1:12" x14ac:dyDescent="0.2">
      <c r="A11" s="70"/>
      <c r="B11" s="70"/>
      <c r="C11" s="70"/>
    </row>
    <row r="12" spans="1:12" x14ac:dyDescent="0.2">
      <c r="A12" s="70"/>
      <c r="B12" s="70"/>
      <c r="C12" s="70"/>
    </row>
    <row r="13" spans="1:12" x14ac:dyDescent="0.2">
      <c r="A13" s="70"/>
      <c r="B13" s="70"/>
      <c r="C13" s="70"/>
    </row>
    <row r="14" spans="1:12" x14ac:dyDescent="0.2">
      <c r="A14" s="70"/>
      <c r="B14" s="70"/>
      <c r="C14" s="70"/>
    </row>
    <row r="15" spans="1:12" x14ac:dyDescent="0.2">
      <c r="A15" s="70"/>
      <c r="B15" s="70"/>
      <c r="C15" s="70"/>
    </row>
    <row r="16" spans="1:12" x14ac:dyDescent="0.2">
      <c r="A16" s="70"/>
      <c r="B16" s="70"/>
      <c r="C16" s="70"/>
    </row>
    <row r="17" spans="1:3" x14ac:dyDescent="0.2">
      <c r="A17" s="70"/>
      <c r="B17" s="70"/>
      <c r="C17" s="70"/>
    </row>
    <row r="18" spans="1:3" x14ac:dyDescent="0.2">
      <c r="A18" s="70"/>
      <c r="B18" s="70"/>
      <c r="C18" s="70"/>
    </row>
    <row r="19" spans="1:3" x14ac:dyDescent="0.2">
      <c r="A19" s="70"/>
      <c r="B19" s="70"/>
      <c r="C19" s="70"/>
    </row>
    <row r="20" spans="1:3" x14ac:dyDescent="0.2">
      <c r="A20" s="70"/>
      <c r="B20" s="70"/>
      <c r="C20" s="70"/>
    </row>
    <row r="21" spans="1:3" x14ac:dyDescent="0.2">
      <c r="A21" s="70"/>
      <c r="B21" s="70"/>
      <c r="C21" s="70"/>
    </row>
    <row r="22" spans="1:3" x14ac:dyDescent="0.2">
      <c r="A22" s="70"/>
      <c r="B22" s="70"/>
      <c r="C22" s="70"/>
    </row>
  </sheetData>
  <sheetProtection password="CC55" sheet="1" objects="1" scenarios="1"/>
  <sortState xmlns:xlrd2="http://schemas.microsoft.com/office/spreadsheetml/2017/richdata2" ref="A1:J22">
    <sortCondition ref="A1"/>
  </sortState>
  <phoneticPr fontId="22" type="noConversion"/>
  <hyperlinks>
    <hyperlink ref="K1" location="PRICE!A1" display="1" xr:uid="{00000000-0004-0000-0500-000000000000}"/>
  </hyperlink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J255"/>
  <sheetViews>
    <sheetView workbookViewId="0">
      <selection activeCell="I1" sqref="I1"/>
    </sheetView>
  </sheetViews>
  <sheetFormatPr defaultColWidth="9.140625" defaultRowHeight="12.75" x14ac:dyDescent="0.2"/>
  <cols>
    <col min="1" max="1" width="8.42578125" style="1" bestFit="1" customWidth="1"/>
    <col min="2" max="2" width="57.28515625" style="1" bestFit="1" customWidth="1"/>
    <col min="3" max="3" width="56.28515625" style="1" bestFit="1" customWidth="1"/>
    <col min="4" max="4" width="81.140625" style="1" bestFit="1" customWidth="1"/>
    <col min="5" max="16384" width="9.140625" style="1"/>
  </cols>
  <sheetData>
    <row r="1" spans="1:10" ht="18" x14ac:dyDescent="0.2">
      <c r="A1" s="1" t="s">
        <v>843</v>
      </c>
      <c r="B1" s="1" t="s">
        <v>1398</v>
      </c>
      <c r="C1" s="1" t="s">
        <v>1399</v>
      </c>
      <c r="D1" s="1" t="s">
        <v>1485</v>
      </c>
      <c r="I1" s="93">
        <v>1</v>
      </c>
      <c r="J1" s="37" t="s">
        <v>921</v>
      </c>
    </row>
    <row r="2" spans="1:10" x14ac:dyDescent="0.2">
      <c r="A2" s="1" t="s">
        <v>19</v>
      </c>
      <c r="B2" s="1" t="s">
        <v>1346</v>
      </c>
      <c r="C2" s="1" t="s">
        <v>1486</v>
      </c>
      <c r="D2" s="1" t="s">
        <v>22</v>
      </c>
    </row>
    <row r="3" spans="1:10" x14ac:dyDescent="0.2">
      <c r="A3" s="1" t="s">
        <v>26</v>
      </c>
      <c r="B3" s="1" t="s">
        <v>1203</v>
      </c>
      <c r="C3" s="1" t="s">
        <v>1204</v>
      </c>
      <c r="D3" s="1" t="s">
        <v>29</v>
      </c>
    </row>
    <row r="4" spans="1:10" x14ac:dyDescent="0.2">
      <c r="A4" s="1" t="s">
        <v>32</v>
      </c>
      <c r="B4" s="1" t="s">
        <v>1321</v>
      </c>
      <c r="C4" s="1" t="s">
        <v>1322</v>
      </c>
      <c r="D4" s="1" t="s">
        <v>35</v>
      </c>
    </row>
    <row r="5" spans="1:10" x14ac:dyDescent="0.2">
      <c r="A5" s="1" t="s">
        <v>38</v>
      </c>
      <c r="B5" s="1" t="s">
        <v>1191</v>
      </c>
      <c r="C5" s="1" t="s">
        <v>1192</v>
      </c>
      <c r="D5" s="1" t="s">
        <v>40</v>
      </c>
    </row>
    <row r="6" spans="1:10" x14ac:dyDescent="0.2">
      <c r="A6" s="1" t="s">
        <v>44</v>
      </c>
      <c r="B6" s="1" t="s">
        <v>1313</v>
      </c>
      <c r="C6" s="1" t="s">
        <v>1314</v>
      </c>
      <c r="D6" s="1" t="s">
        <v>47</v>
      </c>
    </row>
    <row r="7" spans="1:10" x14ac:dyDescent="0.2">
      <c r="A7" s="1" t="s">
        <v>51</v>
      </c>
      <c r="B7" s="1" t="s">
        <v>1338</v>
      </c>
      <c r="C7" s="1" t="s">
        <v>1339</v>
      </c>
      <c r="D7" s="1" t="s">
        <v>54</v>
      </c>
    </row>
    <row r="8" spans="1:10" x14ac:dyDescent="0.2">
      <c r="A8" s="1" t="s">
        <v>58</v>
      </c>
      <c r="B8" s="1" t="s">
        <v>1206</v>
      </c>
      <c r="C8" s="1" t="s">
        <v>1207</v>
      </c>
      <c r="D8" s="1" t="s">
        <v>61</v>
      </c>
    </row>
    <row r="9" spans="1:10" x14ac:dyDescent="0.2">
      <c r="A9" s="1" t="s">
        <v>64</v>
      </c>
      <c r="B9" s="1" t="s">
        <v>1220</v>
      </c>
      <c r="C9" s="1" t="s">
        <v>1221</v>
      </c>
      <c r="D9" s="1" t="s">
        <v>67</v>
      </c>
    </row>
    <row r="10" spans="1:10" x14ac:dyDescent="0.2">
      <c r="A10" s="1" t="s">
        <v>71</v>
      </c>
      <c r="B10" s="1" t="s">
        <v>1280</v>
      </c>
      <c r="C10" s="1" t="s">
        <v>1281</v>
      </c>
      <c r="D10" s="1" t="s">
        <v>74</v>
      </c>
    </row>
    <row r="11" spans="1:10" x14ac:dyDescent="0.2">
      <c r="A11" s="1" t="s">
        <v>78</v>
      </c>
      <c r="B11" s="1" t="s">
        <v>1319</v>
      </c>
      <c r="C11" s="1" t="s">
        <v>1320</v>
      </c>
      <c r="D11" s="1" t="s">
        <v>81</v>
      </c>
    </row>
    <row r="12" spans="1:10" x14ac:dyDescent="0.2">
      <c r="A12" s="1" t="s">
        <v>85</v>
      </c>
      <c r="B12" s="1" t="s">
        <v>1276</v>
      </c>
      <c r="C12" s="1" t="s">
        <v>1277</v>
      </c>
      <c r="D12" s="1" t="s">
        <v>88</v>
      </c>
    </row>
    <row r="13" spans="1:10" x14ac:dyDescent="0.2">
      <c r="A13" s="1" t="s">
        <v>92</v>
      </c>
      <c r="B13" s="1" t="s">
        <v>1270</v>
      </c>
      <c r="C13" s="1" t="s">
        <v>1271</v>
      </c>
      <c r="D13" s="1" t="s">
        <v>95</v>
      </c>
    </row>
    <row r="14" spans="1:10" x14ac:dyDescent="0.2">
      <c r="A14" s="1" t="s">
        <v>99</v>
      </c>
      <c r="B14" s="1" t="s">
        <v>1259</v>
      </c>
      <c r="C14" s="1" t="s">
        <v>1260</v>
      </c>
      <c r="D14" s="1" t="s">
        <v>102</v>
      </c>
    </row>
    <row r="15" spans="1:10" x14ac:dyDescent="0.2">
      <c r="A15" s="1" t="s">
        <v>106</v>
      </c>
      <c r="B15" s="1" t="s">
        <v>1210</v>
      </c>
      <c r="C15" s="1" t="s">
        <v>1211</v>
      </c>
      <c r="D15" s="1" t="s">
        <v>109</v>
      </c>
    </row>
    <row r="16" spans="1:10" x14ac:dyDescent="0.2">
      <c r="A16" s="1" t="s">
        <v>55</v>
      </c>
      <c r="B16" s="1" t="s">
        <v>1239</v>
      </c>
      <c r="C16" s="1" t="s">
        <v>1240</v>
      </c>
      <c r="D16" s="1" t="s">
        <v>115</v>
      </c>
    </row>
    <row r="17" spans="1:4" x14ac:dyDescent="0.2">
      <c r="A17" s="1" t="s">
        <v>119</v>
      </c>
      <c r="B17" s="1" t="s">
        <v>1263</v>
      </c>
      <c r="C17" s="1" t="s">
        <v>1264</v>
      </c>
      <c r="D17" s="1" t="s">
        <v>122</v>
      </c>
    </row>
    <row r="18" spans="1:4" x14ac:dyDescent="0.2">
      <c r="A18" s="1" t="s">
        <v>1487</v>
      </c>
      <c r="B18" s="1" t="s">
        <v>1488</v>
      </c>
      <c r="C18" s="1" t="s">
        <v>1489</v>
      </c>
      <c r="D18" s="1" t="s">
        <v>1490</v>
      </c>
    </row>
    <row r="19" spans="1:4" x14ac:dyDescent="0.2">
      <c r="A19" s="1" t="s">
        <v>1491</v>
      </c>
      <c r="B19" s="1" t="s">
        <v>1492</v>
      </c>
      <c r="C19" s="1" t="s">
        <v>1493</v>
      </c>
      <c r="D19" s="1" t="s">
        <v>1494</v>
      </c>
    </row>
    <row r="20" spans="1:4" x14ac:dyDescent="0.2">
      <c r="A20" s="1" t="s">
        <v>1495</v>
      </c>
      <c r="B20" s="1" t="s">
        <v>1496</v>
      </c>
      <c r="C20" s="1" t="s">
        <v>1497</v>
      </c>
      <c r="D20" s="1" t="s">
        <v>1498</v>
      </c>
    </row>
    <row r="21" spans="1:4" x14ac:dyDescent="0.2">
      <c r="A21" s="1" t="s">
        <v>1499</v>
      </c>
      <c r="B21" s="1" t="s">
        <v>1500</v>
      </c>
      <c r="C21" s="1" t="s">
        <v>1501</v>
      </c>
      <c r="D21" s="1" t="s">
        <v>1502</v>
      </c>
    </row>
    <row r="22" spans="1:4" x14ac:dyDescent="0.2">
      <c r="A22" s="1" t="s">
        <v>1503</v>
      </c>
      <c r="B22" s="1" t="s">
        <v>1504</v>
      </c>
      <c r="C22" s="1" t="s">
        <v>1505</v>
      </c>
      <c r="D22" s="1" t="s">
        <v>1506</v>
      </c>
    </row>
    <row r="23" spans="1:4" x14ac:dyDescent="0.2">
      <c r="A23" s="1" t="s">
        <v>1507</v>
      </c>
      <c r="B23" s="1" t="s">
        <v>1508</v>
      </c>
      <c r="C23" s="1" t="s">
        <v>1509</v>
      </c>
      <c r="D23" s="1" t="s">
        <v>1510</v>
      </c>
    </row>
    <row r="24" spans="1:4" x14ac:dyDescent="0.2">
      <c r="A24" s="1" t="s">
        <v>1511</v>
      </c>
      <c r="B24" s="1" t="s">
        <v>1512</v>
      </c>
      <c r="C24" s="1" t="s">
        <v>1513</v>
      </c>
      <c r="D24" s="1" t="s">
        <v>1514</v>
      </c>
    </row>
    <row r="25" spans="1:4" x14ac:dyDescent="0.2">
      <c r="A25" s="1" t="s">
        <v>1515</v>
      </c>
      <c r="B25" s="1" t="s">
        <v>1516</v>
      </c>
      <c r="C25" s="1" t="s">
        <v>1517</v>
      </c>
      <c r="D25" s="1" t="s">
        <v>1518</v>
      </c>
    </row>
    <row r="26" spans="1:4" x14ac:dyDescent="0.2">
      <c r="A26" s="1" t="s">
        <v>1519</v>
      </c>
      <c r="B26" s="1" t="s">
        <v>1520</v>
      </c>
      <c r="C26" s="1" t="s">
        <v>1521</v>
      </c>
      <c r="D26" s="1" t="s">
        <v>1522</v>
      </c>
    </row>
    <row r="27" spans="1:4" x14ac:dyDescent="0.2">
      <c r="A27" s="1" t="s">
        <v>1523</v>
      </c>
      <c r="B27" s="1" t="s">
        <v>1524</v>
      </c>
      <c r="C27" s="1" t="s">
        <v>1525</v>
      </c>
      <c r="D27" s="1" t="s">
        <v>1526</v>
      </c>
    </row>
    <row r="28" spans="1:4" x14ac:dyDescent="0.2">
      <c r="A28" s="1" t="s">
        <v>1527</v>
      </c>
      <c r="B28" s="1" t="s">
        <v>1528</v>
      </c>
      <c r="C28" s="1" t="s">
        <v>1529</v>
      </c>
      <c r="D28" s="1" t="s">
        <v>1530</v>
      </c>
    </row>
    <row r="29" spans="1:4" x14ac:dyDescent="0.2">
      <c r="A29" s="1" t="s">
        <v>1531</v>
      </c>
      <c r="B29" s="1" t="s">
        <v>1532</v>
      </c>
      <c r="C29" s="1" t="s">
        <v>1533</v>
      </c>
      <c r="D29" s="1" t="s">
        <v>1534</v>
      </c>
    </row>
    <row r="30" spans="1:4" x14ac:dyDescent="0.2">
      <c r="A30" s="1" t="s">
        <v>1535</v>
      </c>
      <c r="B30" s="1" t="s">
        <v>1536</v>
      </c>
      <c r="C30" s="1" t="s">
        <v>1537</v>
      </c>
      <c r="D30" s="1" t="s">
        <v>1538</v>
      </c>
    </row>
    <row r="31" spans="1:4" x14ac:dyDescent="0.2">
      <c r="A31" s="1" t="s">
        <v>1539</v>
      </c>
      <c r="B31" s="1" t="s">
        <v>1540</v>
      </c>
      <c r="C31" s="1" t="s">
        <v>1541</v>
      </c>
      <c r="D31" s="1" t="s">
        <v>1542</v>
      </c>
    </row>
    <row r="32" spans="1:4" x14ac:dyDescent="0.2">
      <c r="A32" s="1" t="s">
        <v>1543</v>
      </c>
      <c r="B32" s="1" t="s">
        <v>1544</v>
      </c>
      <c r="C32" s="1" t="s">
        <v>1545</v>
      </c>
      <c r="D32" s="1" t="s">
        <v>1546</v>
      </c>
    </row>
    <row r="33" spans="1:4" x14ac:dyDescent="0.2">
      <c r="A33" s="1" t="s">
        <v>1547</v>
      </c>
      <c r="B33" s="1" t="s">
        <v>1548</v>
      </c>
      <c r="C33" s="1" t="s">
        <v>1549</v>
      </c>
      <c r="D33" s="1" t="s">
        <v>1550</v>
      </c>
    </row>
    <row r="34" spans="1:4" x14ac:dyDescent="0.2">
      <c r="A34" s="1" t="s">
        <v>1551</v>
      </c>
      <c r="B34" s="1" t="s">
        <v>1552</v>
      </c>
      <c r="C34" s="1" t="s">
        <v>1553</v>
      </c>
      <c r="D34" s="1" t="s">
        <v>1554</v>
      </c>
    </row>
    <row r="35" spans="1:4" x14ac:dyDescent="0.2">
      <c r="A35" s="1" t="s">
        <v>1555</v>
      </c>
      <c r="B35" s="1" t="s">
        <v>1556</v>
      </c>
      <c r="C35" s="1" t="s">
        <v>1557</v>
      </c>
      <c r="D35" s="1" t="s">
        <v>1558</v>
      </c>
    </row>
    <row r="36" spans="1:4" x14ac:dyDescent="0.2">
      <c r="A36" s="1" t="s">
        <v>1559</v>
      </c>
      <c r="B36" s="1" t="s">
        <v>1560</v>
      </c>
      <c r="C36" s="1" t="s">
        <v>1561</v>
      </c>
      <c r="D36" s="1" t="s">
        <v>1562</v>
      </c>
    </row>
    <row r="37" spans="1:4" x14ac:dyDescent="0.2">
      <c r="A37" s="1" t="s">
        <v>1563</v>
      </c>
      <c r="B37" s="1" t="s">
        <v>1564</v>
      </c>
      <c r="C37" s="1" t="s">
        <v>1565</v>
      </c>
      <c r="D37" s="1" t="s">
        <v>1566</v>
      </c>
    </row>
    <row r="38" spans="1:4" x14ac:dyDescent="0.2">
      <c r="A38" s="1" t="s">
        <v>1567</v>
      </c>
      <c r="B38" s="1" t="s">
        <v>1568</v>
      </c>
      <c r="C38" s="1" t="s">
        <v>1569</v>
      </c>
      <c r="D38" s="1" t="s">
        <v>1570</v>
      </c>
    </row>
    <row r="39" spans="1:4" x14ac:dyDescent="0.2">
      <c r="A39" s="1" t="s">
        <v>1571</v>
      </c>
      <c r="B39" s="1" t="s">
        <v>1572</v>
      </c>
      <c r="C39" s="1" t="s">
        <v>1573</v>
      </c>
      <c r="D39" s="1" t="s">
        <v>1574</v>
      </c>
    </row>
    <row r="40" spans="1:4" x14ac:dyDescent="0.2">
      <c r="A40" s="1" t="s">
        <v>236</v>
      </c>
      <c r="B40" s="1" t="s">
        <v>1298</v>
      </c>
      <c r="C40" s="1" t="s">
        <v>1575</v>
      </c>
      <c r="D40" s="1" t="s">
        <v>239</v>
      </c>
    </row>
    <row r="41" spans="1:4" x14ac:dyDescent="0.2">
      <c r="A41" s="1" t="s">
        <v>242</v>
      </c>
      <c r="B41" s="1" t="s">
        <v>1282</v>
      </c>
      <c r="C41" s="1" t="s">
        <v>1576</v>
      </c>
      <c r="D41" s="1" t="s">
        <v>245</v>
      </c>
    </row>
    <row r="42" spans="1:4" x14ac:dyDescent="0.2">
      <c r="A42" s="1" t="s">
        <v>1577</v>
      </c>
      <c r="B42" s="1" t="s">
        <v>1578</v>
      </c>
      <c r="C42" s="1" t="s">
        <v>1579</v>
      </c>
      <c r="D42" s="1" t="s">
        <v>251</v>
      </c>
    </row>
    <row r="43" spans="1:4" x14ac:dyDescent="0.2">
      <c r="A43" s="1" t="s">
        <v>255</v>
      </c>
      <c r="B43" s="1" t="s">
        <v>1287</v>
      </c>
      <c r="C43" s="1" t="s">
        <v>1288</v>
      </c>
      <c r="D43" s="1" t="s">
        <v>258</v>
      </c>
    </row>
    <row r="44" spans="1:4" x14ac:dyDescent="0.2">
      <c r="A44" s="1" t="s">
        <v>147</v>
      </c>
      <c r="B44" s="1" t="s">
        <v>1217</v>
      </c>
      <c r="C44" s="1" t="s">
        <v>1580</v>
      </c>
      <c r="D44" s="1" t="s">
        <v>150</v>
      </c>
    </row>
    <row r="45" spans="1:4" x14ac:dyDescent="0.2">
      <c r="A45" s="1" t="s">
        <v>262</v>
      </c>
      <c r="B45" s="1" t="s">
        <v>1208</v>
      </c>
      <c r="C45" s="1" t="s">
        <v>1209</v>
      </c>
      <c r="D45" s="1" t="s">
        <v>265</v>
      </c>
    </row>
    <row r="46" spans="1:4" x14ac:dyDescent="0.2">
      <c r="A46" s="1" t="s">
        <v>269</v>
      </c>
      <c r="B46" s="1" t="s">
        <v>1226</v>
      </c>
      <c r="C46" s="1" t="s">
        <v>1227</v>
      </c>
      <c r="D46" s="1" t="s">
        <v>288</v>
      </c>
    </row>
    <row r="47" spans="1:4" x14ac:dyDescent="0.2">
      <c r="A47" s="1" t="s">
        <v>140</v>
      </c>
      <c r="B47" s="1" t="s">
        <v>1215</v>
      </c>
      <c r="C47" s="1" t="s">
        <v>1216</v>
      </c>
      <c r="D47" s="1" t="s">
        <v>143</v>
      </c>
    </row>
    <row r="48" spans="1:4" x14ac:dyDescent="0.2">
      <c r="A48" s="1" t="s">
        <v>291</v>
      </c>
      <c r="B48" s="1" t="s">
        <v>1283</v>
      </c>
      <c r="C48" s="1" t="s">
        <v>1284</v>
      </c>
      <c r="D48" s="1" t="s">
        <v>294</v>
      </c>
    </row>
    <row r="49" spans="1:4" x14ac:dyDescent="0.2">
      <c r="A49" s="1" t="s">
        <v>298</v>
      </c>
      <c r="B49" s="1" t="s">
        <v>1213</v>
      </c>
      <c r="C49" s="1" t="s">
        <v>1214</v>
      </c>
      <c r="D49" s="1" t="s">
        <v>301</v>
      </c>
    </row>
    <row r="50" spans="1:4" x14ac:dyDescent="0.2">
      <c r="A50" s="1" t="s">
        <v>186</v>
      </c>
      <c r="B50" s="1" t="s">
        <v>1301</v>
      </c>
      <c r="C50" s="1" t="s">
        <v>1302</v>
      </c>
      <c r="D50" s="1" t="s">
        <v>189</v>
      </c>
    </row>
    <row r="51" spans="1:4" x14ac:dyDescent="0.2">
      <c r="A51" s="1" t="s">
        <v>305</v>
      </c>
      <c r="B51" s="1" t="s">
        <v>1253</v>
      </c>
      <c r="C51" s="1" t="s">
        <v>1254</v>
      </c>
      <c r="D51" s="1" t="s">
        <v>308</v>
      </c>
    </row>
    <row r="52" spans="1:4" x14ac:dyDescent="0.2">
      <c r="A52" s="1" t="s">
        <v>312</v>
      </c>
      <c r="B52" s="1" t="s">
        <v>1224</v>
      </c>
      <c r="C52" s="1" t="s">
        <v>1225</v>
      </c>
      <c r="D52" s="1" t="s">
        <v>315</v>
      </c>
    </row>
    <row r="53" spans="1:4" x14ac:dyDescent="0.2">
      <c r="A53" s="1" t="s">
        <v>222</v>
      </c>
      <c r="B53" s="1" t="s">
        <v>1344</v>
      </c>
      <c r="C53" s="1" t="s">
        <v>1345</v>
      </c>
      <c r="D53" s="1" t="s">
        <v>225</v>
      </c>
    </row>
    <row r="54" spans="1:4" x14ac:dyDescent="0.2">
      <c r="A54" s="1" t="s">
        <v>318</v>
      </c>
      <c r="B54" s="1" t="s">
        <v>1292</v>
      </c>
      <c r="C54" s="1" t="s">
        <v>1293</v>
      </c>
      <c r="D54" s="1" t="s">
        <v>321</v>
      </c>
    </row>
    <row r="55" spans="1:4" x14ac:dyDescent="0.2">
      <c r="A55" s="1" t="s">
        <v>325</v>
      </c>
      <c r="B55" s="1" t="s">
        <v>1199</v>
      </c>
      <c r="C55" s="1" t="s">
        <v>1200</v>
      </c>
      <c r="D55" s="1" t="s">
        <v>328</v>
      </c>
    </row>
    <row r="56" spans="1:4" x14ac:dyDescent="0.2">
      <c r="A56" s="1" t="s">
        <v>332</v>
      </c>
      <c r="B56" s="1" t="s">
        <v>1228</v>
      </c>
      <c r="C56" s="1" t="s">
        <v>1581</v>
      </c>
      <c r="D56" s="1" t="s">
        <v>335</v>
      </c>
    </row>
    <row r="57" spans="1:4" x14ac:dyDescent="0.2">
      <c r="A57" s="1" t="s">
        <v>338</v>
      </c>
      <c r="B57" s="1" t="s">
        <v>1317</v>
      </c>
      <c r="C57" s="1" t="s">
        <v>1318</v>
      </c>
      <c r="D57" s="1" t="s">
        <v>341</v>
      </c>
    </row>
    <row r="58" spans="1:4" x14ac:dyDescent="0.2">
      <c r="A58" s="1" t="s">
        <v>344</v>
      </c>
      <c r="B58" s="1" t="s">
        <v>1241</v>
      </c>
      <c r="C58" s="1" t="s">
        <v>1242</v>
      </c>
      <c r="D58" s="1" t="s">
        <v>347</v>
      </c>
    </row>
    <row r="59" spans="1:4" x14ac:dyDescent="0.2">
      <c r="A59" s="1" t="s">
        <v>166</v>
      </c>
      <c r="B59" s="1" t="s">
        <v>1274</v>
      </c>
      <c r="C59" s="1" t="s">
        <v>1275</v>
      </c>
      <c r="D59" s="1" t="s">
        <v>169</v>
      </c>
    </row>
    <row r="60" spans="1:4" x14ac:dyDescent="0.2">
      <c r="A60" s="1" t="s">
        <v>173</v>
      </c>
      <c r="B60" s="1" t="s">
        <v>1285</v>
      </c>
      <c r="C60" s="1" t="s">
        <v>1286</v>
      </c>
      <c r="D60" s="1" t="s">
        <v>176</v>
      </c>
    </row>
    <row r="61" spans="1:4" x14ac:dyDescent="0.2">
      <c r="A61" s="1" t="s">
        <v>351</v>
      </c>
      <c r="B61" s="1" t="s">
        <v>1243</v>
      </c>
      <c r="C61" s="1" t="s">
        <v>1244</v>
      </c>
      <c r="D61" s="1" t="s">
        <v>354</v>
      </c>
    </row>
    <row r="62" spans="1:4" x14ac:dyDescent="0.2">
      <c r="A62" s="1" t="s">
        <v>192</v>
      </c>
      <c r="B62" s="1" t="s">
        <v>1303</v>
      </c>
      <c r="C62" s="1" t="s">
        <v>1582</v>
      </c>
      <c r="D62" s="1" t="s">
        <v>195</v>
      </c>
    </row>
    <row r="63" spans="1:4" x14ac:dyDescent="0.2">
      <c r="A63" s="1" t="s">
        <v>179</v>
      </c>
      <c r="B63" s="1" t="s">
        <v>1299</v>
      </c>
      <c r="C63" s="1" t="s">
        <v>1300</v>
      </c>
      <c r="D63" s="1" t="s">
        <v>182</v>
      </c>
    </row>
    <row r="64" spans="1:4" x14ac:dyDescent="0.2">
      <c r="A64" s="1" t="s">
        <v>153</v>
      </c>
      <c r="B64" s="1" t="s">
        <v>1229</v>
      </c>
      <c r="C64" s="1" t="s">
        <v>1230</v>
      </c>
      <c r="D64" s="1" t="s">
        <v>156</v>
      </c>
    </row>
    <row r="65" spans="1:4" x14ac:dyDescent="0.2">
      <c r="A65" s="1" t="s">
        <v>210</v>
      </c>
      <c r="B65" s="1" t="s">
        <v>1330</v>
      </c>
      <c r="C65" s="1" t="s">
        <v>1331</v>
      </c>
      <c r="D65" s="1" t="s">
        <v>213</v>
      </c>
    </row>
    <row r="66" spans="1:4" x14ac:dyDescent="0.2">
      <c r="A66" s="1" t="s">
        <v>204</v>
      </c>
      <c r="B66" s="1" t="s">
        <v>1325</v>
      </c>
      <c r="C66" s="1" t="s">
        <v>1326</v>
      </c>
      <c r="D66" s="1" t="s">
        <v>207</v>
      </c>
    </row>
    <row r="67" spans="1:4" x14ac:dyDescent="0.2">
      <c r="A67" s="1" t="s">
        <v>358</v>
      </c>
      <c r="B67" s="1" t="s">
        <v>1249</v>
      </c>
      <c r="C67" s="1" t="s">
        <v>1250</v>
      </c>
      <c r="D67" s="1" t="s">
        <v>361</v>
      </c>
    </row>
    <row r="68" spans="1:4" x14ac:dyDescent="0.2">
      <c r="A68" s="1" t="s">
        <v>160</v>
      </c>
      <c r="B68" s="1" t="s">
        <v>1257</v>
      </c>
      <c r="C68" s="1" t="s">
        <v>1258</v>
      </c>
      <c r="D68" s="1" t="s">
        <v>163</v>
      </c>
    </row>
    <row r="69" spans="1:4" x14ac:dyDescent="0.2">
      <c r="A69" s="1" t="s">
        <v>126</v>
      </c>
      <c r="B69" s="1" t="s">
        <v>1193</v>
      </c>
      <c r="C69" s="1" t="s">
        <v>1194</v>
      </c>
      <c r="D69" s="1" t="s">
        <v>129</v>
      </c>
    </row>
    <row r="70" spans="1:4" x14ac:dyDescent="0.2">
      <c r="A70" s="1" t="s">
        <v>366</v>
      </c>
      <c r="B70" s="1" t="s">
        <v>1290</v>
      </c>
      <c r="C70" s="1" t="s">
        <v>1291</v>
      </c>
      <c r="D70" s="1" t="s">
        <v>369</v>
      </c>
    </row>
    <row r="71" spans="1:4" x14ac:dyDescent="0.2">
      <c r="A71" s="1" t="s">
        <v>373</v>
      </c>
      <c r="B71" s="1" t="s">
        <v>1237</v>
      </c>
      <c r="C71" s="1" t="s">
        <v>1238</v>
      </c>
      <c r="D71" s="1" t="s">
        <v>376</v>
      </c>
    </row>
    <row r="72" spans="1:4" x14ac:dyDescent="0.2">
      <c r="A72" s="1" t="s">
        <v>380</v>
      </c>
      <c r="B72" s="1" t="s">
        <v>1233</v>
      </c>
      <c r="C72" s="1" t="s">
        <v>1234</v>
      </c>
      <c r="D72" s="1" t="s">
        <v>383</v>
      </c>
    </row>
    <row r="73" spans="1:4" x14ac:dyDescent="0.2">
      <c r="A73" s="1" t="s">
        <v>387</v>
      </c>
      <c r="B73" s="1" t="s">
        <v>1332</v>
      </c>
      <c r="C73" s="1" t="s">
        <v>1333</v>
      </c>
      <c r="D73" s="1" t="s">
        <v>390</v>
      </c>
    </row>
    <row r="74" spans="1:4" x14ac:dyDescent="0.2">
      <c r="A74" s="1" t="s">
        <v>395</v>
      </c>
      <c r="B74" s="1" t="s">
        <v>1327</v>
      </c>
      <c r="C74" s="1" t="s">
        <v>1583</v>
      </c>
      <c r="D74" s="1" t="s">
        <v>398</v>
      </c>
    </row>
    <row r="75" spans="1:4" x14ac:dyDescent="0.2">
      <c r="A75" s="1" t="s">
        <v>403</v>
      </c>
      <c r="B75" s="1" t="s">
        <v>1323</v>
      </c>
      <c r="C75" s="1" t="s">
        <v>1324</v>
      </c>
      <c r="D75" s="1" t="s">
        <v>406</v>
      </c>
    </row>
    <row r="76" spans="1:4" x14ac:dyDescent="0.2">
      <c r="A76" s="1" t="s">
        <v>1584</v>
      </c>
      <c r="B76" s="1" t="s">
        <v>1585</v>
      </c>
      <c r="C76" s="1" t="s">
        <v>1586</v>
      </c>
      <c r="D76" s="1" t="s">
        <v>413</v>
      </c>
    </row>
    <row r="77" spans="1:4" x14ac:dyDescent="0.2">
      <c r="A77" s="1" t="s">
        <v>417</v>
      </c>
      <c r="B77" s="1" t="s">
        <v>1231</v>
      </c>
      <c r="C77" s="1" t="s">
        <v>1232</v>
      </c>
      <c r="D77" s="1" t="s">
        <v>420</v>
      </c>
    </row>
    <row r="78" spans="1:4" x14ac:dyDescent="0.2">
      <c r="A78" s="1" t="s">
        <v>424</v>
      </c>
      <c r="B78" s="1" t="s">
        <v>1294</v>
      </c>
      <c r="C78" s="1" t="s">
        <v>1295</v>
      </c>
      <c r="D78" s="1" t="s">
        <v>427</v>
      </c>
    </row>
    <row r="79" spans="1:4" x14ac:dyDescent="0.2">
      <c r="A79" s="1" t="s">
        <v>133</v>
      </c>
      <c r="B79" s="1" t="s">
        <v>1195</v>
      </c>
      <c r="C79" s="1" t="s">
        <v>1196</v>
      </c>
      <c r="D79" s="1" t="s">
        <v>136</v>
      </c>
    </row>
    <row r="80" spans="1:4" x14ac:dyDescent="0.2">
      <c r="A80" s="1" t="s">
        <v>216</v>
      </c>
      <c r="B80" s="1" t="s">
        <v>1341</v>
      </c>
      <c r="C80" s="1" t="s">
        <v>1342</v>
      </c>
      <c r="D80" s="1" t="s">
        <v>219</v>
      </c>
    </row>
    <row r="81" spans="1:4" x14ac:dyDescent="0.2">
      <c r="A81" s="1" t="s">
        <v>431</v>
      </c>
      <c r="B81" s="1" t="s">
        <v>1261</v>
      </c>
      <c r="C81" s="1" t="s">
        <v>1262</v>
      </c>
      <c r="D81" s="1" t="s">
        <v>434</v>
      </c>
    </row>
    <row r="82" spans="1:4" x14ac:dyDescent="0.2">
      <c r="A82" s="1" t="s">
        <v>438</v>
      </c>
      <c r="B82" s="1" t="s">
        <v>1335</v>
      </c>
      <c r="C82" s="1" t="s">
        <v>1587</v>
      </c>
      <c r="D82" s="1" t="s">
        <v>441</v>
      </c>
    </row>
    <row r="83" spans="1:4" x14ac:dyDescent="0.2">
      <c r="A83" s="1" t="s">
        <v>198</v>
      </c>
      <c r="B83" s="1" t="s">
        <v>1307</v>
      </c>
      <c r="C83" s="1" t="s">
        <v>1588</v>
      </c>
      <c r="D83" s="1" t="s">
        <v>201</v>
      </c>
    </row>
    <row r="84" spans="1:4" x14ac:dyDescent="0.2">
      <c r="A84" s="1" t="s">
        <v>445</v>
      </c>
      <c r="B84" s="1" t="s">
        <v>1222</v>
      </c>
      <c r="C84" s="1" t="s">
        <v>1223</v>
      </c>
      <c r="D84" s="1" t="s">
        <v>448</v>
      </c>
    </row>
    <row r="85" spans="1:4" x14ac:dyDescent="0.2">
      <c r="A85" s="1" t="s">
        <v>452</v>
      </c>
      <c r="B85" s="1" t="s">
        <v>1306</v>
      </c>
      <c r="C85" s="1" t="s">
        <v>1589</v>
      </c>
      <c r="D85" s="1" t="s">
        <v>455</v>
      </c>
    </row>
    <row r="86" spans="1:4" x14ac:dyDescent="0.2">
      <c r="A86" s="1" t="s">
        <v>459</v>
      </c>
      <c r="B86" s="1" t="s">
        <v>1296</v>
      </c>
      <c r="C86" s="1" t="s">
        <v>1297</v>
      </c>
      <c r="D86" s="1" t="s">
        <v>462</v>
      </c>
    </row>
    <row r="87" spans="1:4" x14ac:dyDescent="0.2">
      <c r="A87" s="1" t="s">
        <v>466</v>
      </c>
      <c r="B87" s="1" t="s">
        <v>1266</v>
      </c>
      <c r="C87" s="1" t="s">
        <v>1267</v>
      </c>
      <c r="D87" s="1" t="s">
        <v>469</v>
      </c>
    </row>
    <row r="88" spans="1:4" x14ac:dyDescent="0.2">
      <c r="A88" s="1" t="s">
        <v>473</v>
      </c>
      <c r="B88" s="1" t="s">
        <v>1315</v>
      </c>
      <c r="C88" s="1" t="s">
        <v>1316</v>
      </c>
      <c r="D88" s="1" t="s">
        <v>476</v>
      </c>
    </row>
    <row r="89" spans="1:4" x14ac:dyDescent="0.2">
      <c r="A89" s="1" t="s">
        <v>480</v>
      </c>
      <c r="B89" s="1" t="s">
        <v>1265</v>
      </c>
      <c r="C89" s="1" t="s">
        <v>1265</v>
      </c>
      <c r="D89" s="1" t="s">
        <v>483</v>
      </c>
    </row>
    <row r="90" spans="1:4" x14ac:dyDescent="0.2">
      <c r="A90" s="1" t="s">
        <v>2105</v>
      </c>
      <c r="B90" s="1" t="s">
        <v>2106</v>
      </c>
      <c r="C90" s="1" t="s">
        <v>2106</v>
      </c>
      <c r="D90" s="1" t="s">
        <v>2107</v>
      </c>
    </row>
    <row r="91" spans="1:4" x14ac:dyDescent="0.2">
      <c r="A91" s="1" t="s">
        <v>495</v>
      </c>
      <c r="B91" s="1" t="s">
        <v>1308</v>
      </c>
      <c r="C91" s="1" t="s">
        <v>1308</v>
      </c>
      <c r="D91" s="1" t="s">
        <v>498</v>
      </c>
    </row>
    <row r="92" spans="1:4" x14ac:dyDescent="0.2">
      <c r="A92" s="1" t="s">
        <v>502</v>
      </c>
      <c r="B92" s="1" t="s">
        <v>2108</v>
      </c>
      <c r="C92" s="1" t="s">
        <v>2108</v>
      </c>
      <c r="D92" s="1" t="s">
        <v>505</v>
      </c>
    </row>
    <row r="93" spans="1:4" x14ac:dyDescent="0.2">
      <c r="A93" s="1" t="s">
        <v>229</v>
      </c>
      <c r="B93" s="1" t="s">
        <v>2109</v>
      </c>
      <c r="C93" s="1" t="s">
        <v>1590</v>
      </c>
      <c r="D93" s="1" t="s">
        <v>2110</v>
      </c>
    </row>
    <row r="94" spans="1:4" x14ac:dyDescent="0.2">
      <c r="A94" s="1" t="s">
        <v>1591</v>
      </c>
      <c r="B94" s="1" t="s">
        <v>1592</v>
      </c>
      <c r="C94" s="1" t="s">
        <v>1593</v>
      </c>
      <c r="D94" s="1" t="s">
        <v>1594</v>
      </c>
    </row>
    <row r="95" spans="1:4" x14ac:dyDescent="0.2">
      <c r="A95" s="1" t="s">
        <v>1595</v>
      </c>
      <c r="B95" s="1" t="s">
        <v>1596</v>
      </c>
      <c r="C95" s="1" t="s">
        <v>1597</v>
      </c>
      <c r="D95" s="1" t="s">
        <v>1598</v>
      </c>
    </row>
    <row r="96" spans="1:4" x14ac:dyDescent="0.2">
      <c r="A96" s="1" t="s">
        <v>1599</v>
      </c>
      <c r="B96" s="1" t="s">
        <v>1600</v>
      </c>
      <c r="C96" s="1" t="s">
        <v>1601</v>
      </c>
      <c r="D96" s="1" t="s">
        <v>1602</v>
      </c>
    </row>
    <row r="97" spans="1:4" x14ac:dyDescent="0.2">
      <c r="A97" s="1" t="s">
        <v>1603</v>
      </c>
      <c r="B97" s="1" t="s">
        <v>1604</v>
      </c>
      <c r="C97" s="1" t="s">
        <v>1605</v>
      </c>
      <c r="D97" s="1" t="s">
        <v>1606</v>
      </c>
    </row>
    <row r="98" spans="1:4" x14ac:dyDescent="0.2">
      <c r="A98" s="1" t="s">
        <v>1607</v>
      </c>
      <c r="B98" s="1" t="s">
        <v>2111</v>
      </c>
      <c r="C98" s="1" t="s">
        <v>1608</v>
      </c>
      <c r="D98" s="1" t="s">
        <v>1609</v>
      </c>
    </row>
    <row r="99" spans="1:4" x14ac:dyDescent="0.2">
      <c r="A99" s="1" t="s">
        <v>1610</v>
      </c>
      <c r="B99" s="1" t="s">
        <v>1611</v>
      </c>
      <c r="C99" s="1" t="s">
        <v>1612</v>
      </c>
      <c r="D99" s="1" t="s">
        <v>1613</v>
      </c>
    </row>
    <row r="100" spans="1:4" x14ac:dyDescent="0.2">
      <c r="A100" s="1" t="s">
        <v>1614</v>
      </c>
      <c r="B100" s="1" t="s">
        <v>1615</v>
      </c>
      <c r="C100" s="1" t="s">
        <v>1616</v>
      </c>
      <c r="D100" s="1" t="s">
        <v>1617</v>
      </c>
    </row>
    <row r="101" spans="1:4" x14ac:dyDescent="0.2">
      <c r="A101" s="1" t="s">
        <v>1618</v>
      </c>
      <c r="B101" s="1" t="s">
        <v>1619</v>
      </c>
      <c r="C101" s="1" t="s">
        <v>1620</v>
      </c>
      <c r="D101" s="1" t="s">
        <v>1621</v>
      </c>
    </row>
    <row r="102" spans="1:4" x14ac:dyDescent="0.2">
      <c r="A102" s="1" t="s">
        <v>1622</v>
      </c>
      <c r="B102" s="1" t="s">
        <v>1623</v>
      </c>
      <c r="C102" s="1" t="s">
        <v>1624</v>
      </c>
      <c r="D102" s="1" t="s">
        <v>1625</v>
      </c>
    </row>
    <row r="103" spans="1:4" x14ac:dyDescent="0.2">
      <c r="A103" s="1" t="s">
        <v>1626</v>
      </c>
      <c r="B103" s="1" t="s">
        <v>1627</v>
      </c>
      <c r="C103" s="1" t="s">
        <v>1628</v>
      </c>
      <c r="D103" s="1" t="s">
        <v>1629</v>
      </c>
    </row>
    <row r="104" spans="1:4" x14ac:dyDescent="0.2">
      <c r="A104" s="1" t="s">
        <v>1630</v>
      </c>
      <c r="B104" s="1" t="s">
        <v>1631</v>
      </c>
      <c r="C104" s="1" t="s">
        <v>1632</v>
      </c>
      <c r="D104" s="1" t="s">
        <v>1340</v>
      </c>
    </row>
    <row r="105" spans="1:4" x14ac:dyDescent="0.2">
      <c r="A105" s="1" t="s">
        <v>1633</v>
      </c>
      <c r="B105" s="1" t="s">
        <v>1634</v>
      </c>
      <c r="C105" s="1" t="s">
        <v>1635</v>
      </c>
      <c r="D105" s="1" t="s">
        <v>1636</v>
      </c>
    </row>
    <row r="106" spans="1:4" x14ac:dyDescent="0.2">
      <c r="A106" s="1" t="s">
        <v>1637</v>
      </c>
      <c r="B106" s="1" t="s">
        <v>1638</v>
      </c>
      <c r="C106" s="1" t="s">
        <v>1639</v>
      </c>
      <c r="D106" s="1" t="s">
        <v>1640</v>
      </c>
    </row>
    <row r="107" spans="1:4" x14ac:dyDescent="0.2">
      <c r="A107" s="1" t="s">
        <v>1641</v>
      </c>
      <c r="B107" s="1" t="s">
        <v>1642</v>
      </c>
      <c r="C107" s="1" t="s">
        <v>1643</v>
      </c>
      <c r="D107" s="1" t="s">
        <v>1644</v>
      </c>
    </row>
    <row r="108" spans="1:4" x14ac:dyDescent="0.2">
      <c r="A108" s="1" t="s">
        <v>566</v>
      </c>
      <c r="B108" s="1" t="s">
        <v>1197</v>
      </c>
      <c r="C108" s="1" t="s">
        <v>1198</v>
      </c>
      <c r="D108" s="1" t="s">
        <v>569</v>
      </c>
    </row>
    <row r="109" spans="1:4" x14ac:dyDescent="0.2">
      <c r="A109" s="1" t="s">
        <v>509</v>
      </c>
      <c r="B109" s="1" t="s">
        <v>1201</v>
      </c>
      <c r="C109" s="1" t="s">
        <v>1202</v>
      </c>
      <c r="D109" s="1" t="s">
        <v>513</v>
      </c>
    </row>
    <row r="110" spans="1:4" x14ac:dyDescent="0.2">
      <c r="A110" s="1" t="s">
        <v>653</v>
      </c>
      <c r="B110" s="1" t="s">
        <v>1205</v>
      </c>
      <c r="C110" s="1" t="s">
        <v>1645</v>
      </c>
      <c r="D110" s="1" t="s">
        <v>656</v>
      </c>
    </row>
    <row r="111" spans="1:4" x14ac:dyDescent="0.2">
      <c r="A111" s="1" t="s">
        <v>621</v>
      </c>
      <c r="B111" s="1" t="s">
        <v>1212</v>
      </c>
      <c r="C111" s="1" t="s">
        <v>1646</v>
      </c>
      <c r="D111" s="1" t="s">
        <v>624</v>
      </c>
    </row>
    <row r="112" spans="1:4" x14ac:dyDescent="0.2">
      <c r="A112" s="1" t="s">
        <v>538</v>
      </c>
      <c r="B112" s="1" t="s">
        <v>1218</v>
      </c>
      <c r="C112" s="1" t="s">
        <v>1219</v>
      </c>
      <c r="D112" s="1" t="s">
        <v>541</v>
      </c>
    </row>
    <row r="113" spans="1:4" x14ac:dyDescent="0.2">
      <c r="A113" s="1" t="s">
        <v>559</v>
      </c>
      <c r="B113" s="1" t="s">
        <v>1245</v>
      </c>
      <c r="C113" s="1" t="s">
        <v>1246</v>
      </c>
      <c r="D113" s="1" t="s">
        <v>562</v>
      </c>
    </row>
    <row r="114" spans="1:4" x14ac:dyDescent="0.2">
      <c r="A114" s="1" t="s">
        <v>545</v>
      </c>
      <c r="B114" s="1" t="s">
        <v>1247</v>
      </c>
      <c r="C114" s="1" t="s">
        <v>1248</v>
      </c>
      <c r="D114" s="1" t="s">
        <v>548</v>
      </c>
    </row>
    <row r="115" spans="1:4" x14ac:dyDescent="0.2">
      <c r="A115" s="1" t="s">
        <v>552</v>
      </c>
      <c r="B115" s="1" t="s">
        <v>1251</v>
      </c>
      <c r="C115" s="1" t="s">
        <v>1252</v>
      </c>
      <c r="D115" s="1" t="s">
        <v>555</v>
      </c>
    </row>
    <row r="116" spans="1:4" x14ac:dyDescent="0.2">
      <c r="A116" s="1" t="s">
        <v>524</v>
      </c>
      <c r="B116" s="1" t="s">
        <v>1255</v>
      </c>
      <c r="C116" s="1" t="s">
        <v>1256</v>
      </c>
      <c r="D116" s="1" t="s">
        <v>527</v>
      </c>
    </row>
    <row r="117" spans="1:4" x14ac:dyDescent="0.2">
      <c r="A117" s="1" t="s">
        <v>580</v>
      </c>
      <c r="B117" s="1" t="s">
        <v>1268</v>
      </c>
      <c r="C117" s="1" t="s">
        <v>1269</v>
      </c>
      <c r="D117" s="1" t="s">
        <v>583</v>
      </c>
    </row>
    <row r="118" spans="1:4" x14ac:dyDescent="0.2">
      <c r="A118" s="1" t="s">
        <v>587</v>
      </c>
      <c r="B118" s="1" t="s">
        <v>1272</v>
      </c>
      <c r="C118" s="1" t="s">
        <v>1647</v>
      </c>
      <c r="D118" s="1" t="s">
        <v>590</v>
      </c>
    </row>
    <row r="119" spans="1:4" x14ac:dyDescent="0.2">
      <c r="A119" s="1" t="s">
        <v>608</v>
      </c>
      <c r="B119" s="1" t="s">
        <v>1273</v>
      </c>
      <c r="C119" s="1" t="s">
        <v>1273</v>
      </c>
      <c r="D119" s="1" t="s">
        <v>610</v>
      </c>
    </row>
    <row r="120" spans="1:4" x14ac:dyDescent="0.2">
      <c r="A120" s="1" t="s">
        <v>531</v>
      </c>
      <c r="B120" s="1" t="s">
        <v>1278</v>
      </c>
      <c r="C120" s="1" t="s">
        <v>1279</v>
      </c>
      <c r="D120" s="1" t="s">
        <v>534</v>
      </c>
    </row>
    <row r="121" spans="1:4" x14ac:dyDescent="0.2">
      <c r="A121" s="1" t="s">
        <v>601</v>
      </c>
      <c r="B121" s="1" t="s">
        <v>1289</v>
      </c>
      <c r="C121" s="1" t="s">
        <v>1648</v>
      </c>
      <c r="D121" s="1" t="s">
        <v>604</v>
      </c>
    </row>
    <row r="122" spans="1:4" x14ac:dyDescent="0.2">
      <c r="A122" s="1" t="s">
        <v>573</v>
      </c>
      <c r="B122" s="1" t="s">
        <v>1304</v>
      </c>
      <c r="C122" s="1" t="s">
        <v>1305</v>
      </c>
      <c r="D122" s="1" t="s">
        <v>576</v>
      </c>
    </row>
    <row r="123" spans="1:4" x14ac:dyDescent="0.2">
      <c r="A123" s="1" t="s">
        <v>635</v>
      </c>
      <c r="B123" s="1" t="s">
        <v>1309</v>
      </c>
      <c r="C123" s="1" t="s">
        <v>1310</v>
      </c>
      <c r="D123" s="1" t="s">
        <v>638</v>
      </c>
    </row>
    <row r="124" spans="1:4" x14ac:dyDescent="0.2">
      <c r="A124" s="1" t="s">
        <v>614</v>
      </c>
      <c r="B124" s="1" t="s">
        <v>1311</v>
      </c>
      <c r="C124" s="1" t="s">
        <v>1312</v>
      </c>
      <c r="D124" s="1" t="s">
        <v>617</v>
      </c>
    </row>
    <row r="125" spans="1:4" x14ac:dyDescent="0.2">
      <c r="A125" s="1" t="s">
        <v>594</v>
      </c>
      <c r="B125" s="1" t="s">
        <v>1328</v>
      </c>
      <c r="C125" s="1" t="s">
        <v>1329</v>
      </c>
      <c r="D125" s="1" t="s">
        <v>597</v>
      </c>
    </row>
    <row r="126" spans="1:4" x14ac:dyDescent="0.2">
      <c r="A126" s="1" t="s">
        <v>641</v>
      </c>
      <c r="B126" s="1" t="s">
        <v>2112</v>
      </c>
      <c r="C126" s="1" t="s">
        <v>1334</v>
      </c>
      <c r="D126" s="1" t="s">
        <v>644</v>
      </c>
    </row>
    <row r="127" spans="1:4" x14ac:dyDescent="0.2">
      <c r="A127" s="1" t="s">
        <v>647</v>
      </c>
      <c r="B127" s="1" t="s">
        <v>1336</v>
      </c>
      <c r="C127" s="1" t="s">
        <v>1337</v>
      </c>
      <c r="D127" s="1" t="s">
        <v>650</v>
      </c>
    </row>
    <row r="128" spans="1:4" x14ac:dyDescent="0.2">
      <c r="A128" s="1" t="s">
        <v>659</v>
      </c>
      <c r="B128" s="1" t="s">
        <v>1343</v>
      </c>
      <c r="C128" s="1" t="s">
        <v>1649</v>
      </c>
      <c r="D128" s="1" t="s">
        <v>662</v>
      </c>
    </row>
    <row r="129" spans="1:4" x14ac:dyDescent="0.2">
      <c r="A129" s="1" t="s">
        <v>628</v>
      </c>
      <c r="B129" s="1" t="s">
        <v>1235</v>
      </c>
      <c r="C129" s="1" t="s">
        <v>1236</v>
      </c>
      <c r="D129" s="1" t="s">
        <v>631</v>
      </c>
    </row>
    <row r="130" spans="1:4" x14ac:dyDescent="0.2">
      <c r="A130" s="1" t="s">
        <v>1650</v>
      </c>
      <c r="B130" s="1" t="s">
        <v>1651</v>
      </c>
      <c r="C130" s="1" t="s">
        <v>1652</v>
      </c>
      <c r="D130" s="1" t="s">
        <v>1653</v>
      </c>
    </row>
    <row r="131" spans="1:4" x14ac:dyDescent="0.2">
      <c r="A131" s="1" t="s">
        <v>1654</v>
      </c>
      <c r="B131" s="1" t="s">
        <v>1655</v>
      </c>
      <c r="C131" s="1" t="s">
        <v>1656</v>
      </c>
      <c r="D131" s="1" t="s">
        <v>1657</v>
      </c>
    </row>
    <row r="132" spans="1:4" x14ac:dyDescent="0.2">
      <c r="A132" s="1" t="s">
        <v>1658</v>
      </c>
      <c r="B132" s="1" t="s">
        <v>1659</v>
      </c>
      <c r="C132" s="1" t="s">
        <v>1660</v>
      </c>
      <c r="D132" s="1" t="s">
        <v>1661</v>
      </c>
    </row>
    <row r="133" spans="1:4" x14ac:dyDescent="0.2">
      <c r="A133" s="1" t="s">
        <v>1662</v>
      </c>
      <c r="B133" s="1" t="s">
        <v>1663</v>
      </c>
      <c r="C133" s="1" t="s">
        <v>1664</v>
      </c>
      <c r="D133" s="1" t="s">
        <v>1665</v>
      </c>
    </row>
    <row r="134" spans="1:4" x14ac:dyDescent="0.2">
      <c r="A134" s="1" t="s">
        <v>1666</v>
      </c>
      <c r="B134" s="1" t="s">
        <v>1667</v>
      </c>
      <c r="C134" s="1" t="s">
        <v>1668</v>
      </c>
      <c r="D134" s="1" t="s">
        <v>1669</v>
      </c>
    </row>
    <row r="135" spans="1:4" x14ac:dyDescent="0.2">
      <c r="A135" s="1" t="s">
        <v>1670</v>
      </c>
      <c r="B135" s="1" t="s">
        <v>1671</v>
      </c>
      <c r="C135" s="1" t="s">
        <v>1672</v>
      </c>
      <c r="D135" s="1" t="s">
        <v>1673</v>
      </c>
    </row>
    <row r="136" spans="1:4" x14ac:dyDescent="0.2">
      <c r="A136" s="1" t="s">
        <v>1674</v>
      </c>
      <c r="B136" s="1" t="s">
        <v>1675</v>
      </c>
      <c r="C136" s="1" t="s">
        <v>1676</v>
      </c>
      <c r="D136" s="1" t="s">
        <v>520</v>
      </c>
    </row>
    <row r="137" spans="1:4" x14ac:dyDescent="0.2">
      <c r="A137" s="1" t="s">
        <v>1677</v>
      </c>
      <c r="B137" s="1" t="s">
        <v>1678</v>
      </c>
      <c r="C137" s="1" t="s">
        <v>1679</v>
      </c>
      <c r="D137" s="1" t="s">
        <v>1680</v>
      </c>
    </row>
    <row r="138" spans="1:4" x14ac:dyDescent="0.2">
      <c r="A138" s="1" t="s">
        <v>1681</v>
      </c>
      <c r="B138" s="1" t="s">
        <v>1682</v>
      </c>
      <c r="C138" s="1" t="s">
        <v>1683</v>
      </c>
      <c r="D138" s="1" t="s">
        <v>1684</v>
      </c>
    </row>
    <row r="139" spans="1:4" x14ac:dyDescent="0.2">
      <c r="A139" s="1" t="s">
        <v>1685</v>
      </c>
      <c r="B139" s="1" t="s">
        <v>1686</v>
      </c>
      <c r="C139" s="1" t="s">
        <v>1687</v>
      </c>
      <c r="D139" s="1" t="s">
        <v>1688</v>
      </c>
    </row>
    <row r="140" spans="1:4" x14ac:dyDescent="0.2">
      <c r="A140" s="1" t="s">
        <v>1689</v>
      </c>
      <c r="B140" s="1" t="s">
        <v>1690</v>
      </c>
      <c r="C140" s="1" t="s">
        <v>1691</v>
      </c>
      <c r="D140" s="1" t="s">
        <v>1692</v>
      </c>
    </row>
    <row r="141" spans="1:4" x14ac:dyDescent="0.2">
      <c r="A141" s="1" t="s">
        <v>1693</v>
      </c>
      <c r="B141" s="1" t="s">
        <v>1694</v>
      </c>
      <c r="C141" s="1" t="s">
        <v>1695</v>
      </c>
      <c r="D141" s="1" t="s">
        <v>1696</v>
      </c>
    </row>
    <row r="142" spans="1:4" x14ac:dyDescent="0.2">
      <c r="A142" s="1" t="s">
        <v>1697</v>
      </c>
      <c r="B142" s="1" t="s">
        <v>1698</v>
      </c>
      <c r="C142" s="1" t="s">
        <v>1699</v>
      </c>
      <c r="D142" s="1" t="s">
        <v>1700</v>
      </c>
    </row>
    <row r="143" spans="1:4" x14ac:dyDescent="0.2">
      <c r="A143" s="1" t="s">
        <v>1701</v>
      </c>
      <c r="B143" s="1" t="s">
        <v>1702</v>
      </c>
      <c r="C143" s="1" t="s">
        <v>1703</v>
      </c>
      <c r="D143" s="1" t="s">
        <v>1704</v>
      </c>
    </row>
    <row r="144" spans="1:4" x14ac:dyDescent="0.2">
      <c r="A144" s="1" t="s">
        <v>1705</v>
      </c>
      <c r="B144" s="1" t="s">
        <v>1706</v>
      </c>
      <c r="C144" s="1" t="s">
        <v>1707</v>
      </c>
      <c r="D144" s="1" t="s">
        <v>1708</v>
      </c>
    </row>
    <row r="145" spans="1:4" x14ac:dyDescent="0.2">
      <c r="A145" s="1" t="s">
        <v>1709</v>
      </c>
      <c r="B145" s="1" t="s">
        <v>1710</v>
      </c>
      <c r="C145" s="1" t="s">
        <v>1711</v>
      </c>
      <c r="D145" s="1" t="s">
        <v>1712</v>
      </c>
    </row>
    <row r="146" spans="1:4" x14ac:dyDescent="0.2">
      <c r="A146" s="1" t="s">
        <v>1713</v>
      </c>
      <c r="B146" s="1" t="s">
        <v>1714</v>
      </c>
      <c r="C146" s="1" t="s">
        <v>1715</v>
      </c>
      <c r="D146" s="1" t="s">
        <v>1716</v>
      </c>
    </row>
    <row r="147" spans="1:4" x14ac:dyDescent="0.2">
      <c r="A147" s="1" t="s">
        <v>1717</v>
      </c>
      <c r="B147" s="1" t="s">
        <v>1718</v>
      </c>
      <c r="C147" s="1" t="s">
        <v>1719</v>
      </c>
      <c r="D147" s="1" t="s">
        <v>1720</v>
      </c>
    </row>
    <row r="148" spans="1:4" x14ac:dyDescent="0.2">
      <c r="A148" s="1" t="s">
        <v>1721</v>
      </c>
      <c r="B148" s="1" t="s">
        <v>1722</v>
      </c>
      <c r="C148" s="1" t="s">
        <v>1723</v>
      </c>
      <c r="D148" s="1" t="s">
        <v>1724</v>
      </c>
    </row>
    <row r="149" spans="1:4" x14ac:dyDescent="0.2">
      <c r="A149" s="1" t="s">
        <v>1725</v>
      </c>
      <c r="B149" s="1" t="s">
        <v>1726</v>
      </c>
      <c r="C149" s="1" t="s">
        <v>1727</v>
      </c>
      <c r="D149" s="1" t="s">
        <v>1728</v>
      </c>
    </row>
    <row r="150" spans="1:4" x14ac:dyDescent="0.2">
      <c r="A150" s="1" t="s">
        <v>1729</v>
      </c>
      <c r="B150" s="1" t="s">
        <v>1730</v>
      </c>
      <c r="C150" s="1" t="s">
        <v>1731</v>
      </c>
      <c r="D150" s="1" t="s">
        <v>1732</v>
      </c>
    </row>
    <row r="151" spans="1:4" x14ac:dyDescent="0.2">
      <c r="A151" s="1" t="s">
        <v>1733</v>
      </c>
      <c r="B151" s="1" t="s">
        <v>1734</v>
      </c>
      <c r="C151" s="1" t="s">
        <v>1735</v>
      </c>
      <c r="D151" s="1" t="s">
        <v>1736</v>
      </c>
    </row>
    <row r="152" spans="1:4" x14ac:dyDescent="0.2">
      <c r="A152" s="1" t="s">
        <v>1737</v>
      </c>
      <c r="B152" s="1" t="s">
        <v>1738</v>
      </c>
      <c r="C152" s="1" t="s">
        <v>1739</v>
      </c>
      <c r="D152" s="1" t="s">
        <v>1740</v>
      </c>
    </row>
    <row r="153" spans="1:4" x14ac:dyDescent="0.2">
      <c r="A153" s="1" t="s">
        <v>1741</v>
      </c>
      <c r="B153" s="1" t="s">
        <v>1742</v>
      </c>
      <c r="C153" s="1" t="s">
        <v>1742</v>
      </c>
      <c r="D153" s="1" t="s">
        <v>1743</v>
      </c>
    </row>
    <row r="154" spans="1:4" x14ac:dyDescent="0.2">
      <c r="A154" s="1" t="s">
        <v>1744</v>
      </c>
      <c r="B154" s="1" t="s">
        <v>1745</v>
      </c>
      <c r="C154" s="1" t="s">
        <v>1746</v>
      </c>
      <c r="D154" s="1" t="s">
        <v>1747</v>
      </c>
    </row>
    <row r="155" spans="1:4" x14ac:dyDescent="0.2">
      <c r="A155" s="1" t="s">
        <v>1748</v>
      </c>
      <c r="B155" s="1" t="s">
        <v>1749</v>
      </c>
      <c r="C155" s="1" t="s">
        <v>1750</v>
      </c>
      <c r="D155" s="1" t="s">
        <v>1751</v>
      </c>
    </row>
    <row r="156" spans="1:4" x14ac:dyDescent="0.2">
      <c r="A156" s="1" t="s">
        <v>1752</v>
      </c>
      <c r="B156" s="1" t="s">
        <v>1753</v>
      </c>
      <c r="C156" s="1" t="s">
        <v>1754</v>
      </c>
      <c r="D156" s="1" t="s">
        <v>1755</v>
      </c>
    </row>
    <row r="157" spans="1:4" x14ac:dyDescent="0.2">
      <c r="A157" s="1" t="s">
        <v>1756</v>
      </c>
      <c r="B157" s="1" t="s">
        <v>1757</v>
      </c>
      <c r="C157" s="1" t="s">
        <v>1758</v>
      </c>
      <c r="D157" s="1" t="s">
        <v>1759</v>
      </c>
    </row>
    <row r="158" spans="1:4" x14ac:dyDescent="0.2">
      <c r="A158" s="1" t="s">
        <v>1760</v>
      </c>
      <c r="B158" s="1" t="s">
        <v>1761</v>
      </c>
      <c r="C158" s="1" t="s">
        <v>1761</v>
      </c>
      <c r="D158" s="1" t="s">
        <v>1762</v>
      </c>
    </row>
    <row r="159" spans="1:4" x14ac:dyDescent="0.2">
      <c r="A159" s="1" t="s">
        <v>1763</v>
      </c>
      <c r="B159" s="1" t="s">
        <v>1764</v>
      </c>
      <c r="C159" s="1" t="s">
        <v>1765</v>
      </c>
      <c r="D159" s="1" t="s">
        <v>1766</v>
      </c>
    </row>
    <row r="160" spans="1:4" x14ac:dyDescent="0.2">
      <c r="A160" s="1" t="s">
        <v>1767</v>
      </c>
      <c r="B160" s="1" t="s">
        <v>1768</v>
      </c>
      <c r="C160" s="1" t="s">
        <v>1769</v>
      </c>
      <c r="D160" s="1" t="s">
        <v>1770</v>
      </c>
    </row>
    <row r="161" spans="1:4" x14ac:dyDescent="0.2">
      <c r="A161" s="1" t="s">
        <v>1771</v>
      </c>
      <c r="B161" s="1" t="s">
        <v>1772</v>
      </c>
      <c r="C161" s="1" t="s">
        <v>1773</v>
      </c>
      <c r="D161" s="1" t="s">
        <v>1774</v>
      </c>
    </row>
    <row r="162" spans="1:4" x14ac:dyDescent="0.2">
      <c r="A162" s="1" t="s">
        <v>1775</v>
      </c>
      <c r="B162" s="1" t="s">
        <v>1776</v>
      </c>
      <c r="C162" s="1" t="s">
        <v>1777</v>
      </c>
      <c r="D162" s="1" t="s">
        <v>1778</v>
      </c>
    </row>
    <row r="163" spans="1:4" x14ac:dyDescent="0.2">
      <c r="A163" s="1" t="s">
        <v>1779</v>
      </c>
      <c r="B163" s="1" t="s">
        <v>1780</v>
      </c>
      <c r="C163" s="1" t="s">
        <v>1781</v>
      </c>
      <c r="D163" s="1" t="s">
        <v>1782</v>
      </c>
    </row>
    <row r="164" spans="1:4" x14ac:dyDescent="0.2">
      <c r="A164" s="1" t="s">
        <v>1783</v>
      </c>
      <c r="B164" s="1" t="s">
        <v>1784</v>
      </c>
      <c r="C164" s="1" t="s">
        <v>1784</v>
      </c>
      <c r="D164" s="1" t="s">
        <v>1785</v>
      </c>
    </row>
    <row r="165" spans="1:4" x14ac:dyDescent="0.2">
      <c r="A165" s="1" t="s">
        <v>1786</v>
      </c>
      <c r="B165" s="1" t="s">
        <v>1787</v>
      </c>
      <c r="C165" s="1" t="s">
        <v>1788</v>
      </c>
      <c r="D165" s="1" t="s">
        <v>1785</v>
      </c>
    </row>
    <row r="166" spans="1:4" x14ac:dyDescent="0.2">
      <c r="A166" s="1" t="s">
        <v>1789</v>
      </c>
      <c r="B166" s="1" t="s">
        <v>1790</v>
      </c>
      <c r="C166" s="1" t="s">
        <v>1791</v>
      </c>
      <c r="D166" s="1" t="s">
        <v>1792</v>
      </c>
    </row>
    <row r="167" spans="1:4" x14ac:dyDescent="0.2">
      <c r="A167" s="1" t="s">
        <v>1793</v>
      </c>
      <c r="B167" s="1" t="s">
        <v>1794</v>
      </c>
      <c r="C167" s="1" t="s">
        <v>1795</v>
      </c>
      <c r="D167" s="1" t="s">
        <v>1796</v>
      </c>
    </row>
    <row r="168" spans="1:4" x14ac:dyDescent="0.2">
      <c r="A168" s="1" t="s">
        <v>1797</v>
      </c>
      <c r="B168" s="1" t="s">
        <v>1798</v>
      </c>
      <c r="C168" s="1" t="s">
        <v>1799</v>
      </c>
    </row>
    <row r="169" spans="1:4" x14ac:dyDescent="0.2">
      <c r="A169" s="1" t="s">
        <v>1800</v>
      </c>
      <c r="B169" s="1" t="s">
        <v>1801</v>
      </c>
      <c r="C169" s="1" t="s">
        <v>1802</v>
      </c>
      <c r="D169" s="1" t="s">
        <v>1803</v>
      </c>
    </row>
    <row r="170" spans="1:4" x14ac:dyDescent="0.2">
      <c r="A170" s="1" t="s">
        <v>1804</v>
      </c>
      <c r="B170" s="1" t="s">
        <v>1805</v>
      </c>
      <c r="C170" s="1" t="s">
        <v>1806</v>
      </c>
      <c r="D170" s="1" t="s">
        <v>1807</v>
      </c>
    </row>
    <row r="171" spans="1:4" x14ac:dyDescent="0.2">
      <c r="A171" s="1" t="s">
        <v>1808</v>
      </c>
      <c r="B171" s="1" t="s">
        <v>1809</v>
      </c>
      <c r="C171" s="1" t="s">
        <v>1810</v>
      </c>
      <c r="D171" s="1" t="s">
        <v>1811</v>
      </c>
    </row>
    <row r="172" spans="1:4" x14ac:dyDescent="0.2">
      <c r="A172" s="1" t="s">
        <v>1812</v>
      </c>
      <c r="B172" s="1" t="s">
        <v>1813</v>
      </c>
      <c r="C172" s="1" t="s">
        <v>1814</v>
      </c>
      <c r="D172" s="1" t="s">
        <v>1815</v>
      </c>
    </row>
    <row r="173" spans="1:4" x14ac:dyDescent="0.2">
      <c r="A173" s="1" t="s">
        <v>1816</v>
      </c>
      <c r="B173" s="1" t="s">
        <v>1817</v>
      </c>
      <c r="C173" s="1" t="s">
        <v>1818</v>
      </c>
      <c r="D173" s="1" t="s">
        <v>1819</v>
      </c>
    </row>
    <row r="174" spans="1:4" x14ac:dyDescent="0.2">
      <c r="A174" s="1" t="s">
        <v>1820</v>
      </c>
      <c r="B174" s="1" t="s">
        <v>1821</v>
      </c>
      <c r="C174" s="1" t="s">
        <v>1822</v>
      </c>
      <c r="D174" s="1" t="s">
        <v>1823</v>
      </c>
    </row>
    <row r="175" spans="1:4" x14ac:dyDescent="0.2">
      <c r="A175" s="1" t="s">
        <v>1824</v>
      </c>
      <c r="B175" s="1" t="s">
        <v>1825</v>
      </c>
      <c r="C175" s="1" t="s">
        <v>1826</v>
      </c>
      <c r="D175" s="1" t="s">
        <v>1827</v>
      </c>
    </row>
    <row r="176" spans="1:4" x14ac:dyDescent="0.2">
      <c r="A176" s="1" t="s">
        <v>1828</v>
      </c>
      <c r="B176" s="1" t="s">
        <v>1829</v>
      </c>
      <c r="C176" s="1" t="s">
        <v>1830</v>
      </c>
      <c r="D176" s="1" t="s">
        <v>1831</v>
      </c>
    </row>
    <row r="177" spans="1:4" x14ac:dyDescent="0.2">
      <c r="A177" s="1" t="s">
        <v>1832</v>
      </c>
      <c r="B177" s="1" t="s">
        <v>1833</v>
      </c>
      <c r="C177" s="1" t="s">
        <v>1834</v>
      </c>
      <c r="D177" s="1" t="s">
        <v>1835</v>
      </c>
    </row>
    <row r="178" spans="1:4" x14ac:dyDescent="0.2">
      <c r="A178" s="1" t="s">
        <v>1836</v>
      </c>
      <c r="B178" s="1" t="s">
        <v>1837</v>
      </c>
      <c r="C178" s="1" t="s">
        <v>1838</v>
      </c>
      <c r="D178" s="1" t="s">
        <v>527</v>
      </c>
    </row>
    <row r="179" spans="1:4" x14ac:dyDescent="0.2">
      <c r="A179" s="1" t="s">
        <v>1839</v>
      </c>
      <c r="B179" s="1" t="s">
        <v>1840</v>
      </c>
      <c r="C179" s="1" t="s">
        <v>1841</v>
      </c>
      <c r="D179" s="1" t="s">
        <v>1842</v>
      </c>
    </row>
    <row r="180" spans="1:4" x14ac:dyDescent="0.2">
      <c r="A180" s="1" t="s">
        <v>1843</v>
      </c>
      <c r="B180" s="1" t="s">
        <v>1844</v>
      </c>
      <c r="C180" s="1" t="s">
        <v>1845</v>
      </c>
      <c r="D180" s="1" t="s">
        <v>1846</v>
      </c>
    </row>
    <row r="181" spans="1:4" x14ac:dyDescent="0.2">
      <c r="A181" s="1" t="s">
        <v>1847</v>
      </c>
      <c r="B181" s="1" t="s">
        <v>1848</v>
      </c>
      <c r="C181" s="1" t="s">
        <v>1849</v>
      </c>
      <c r="D181" s="1" t="s">
        <v>1850</v>
      </c>
    </row>
    <row r="182" spans="1:4" x14ac:dyDescent="0.2">
      <c r="A182" s="1" t="s">
        <v>1851</v>
      </c>
      <c r="B182" s="1" t="s">
        <v>1852</v>
      </c>
      <c r="C182" s="1" t="s">
        <v>1853</v>
      </c>
      <c r="D182" s="1" t="s">
        <v>1854</v>
      </c>
    </row>
    <row r="183" spans="1:4" x14ac:dyDescent="0.2">
      <c r="A183" s="1" t="s">
        <v>1855</v>
      </c>
      <c r="B183" s="1" t="s">
        <v>1856</v>
      </c>
      <c r="C183" s="1" t="s">
        <v>1857</v>
      </c>
      <c r="D183" s="1" t="s">
        <v>1858</v>
      </c>
    </row>
    <row r="184" spans="1:4" x14ac:dyDescent="0.2">
      <c r="A184" s="1" t="s">
        <v>1859</v>
      </c>
      <c r="B184" s="1" t="s">
        <v>1860</v>
      </c>
      <c r="C184" s="1" t="s">
        <v>1861</v>
      </c>
      <c r="D184" s="1" t="s">
        <v>1617</v>
      </c>
    </row>
    <row r="185" spans="1:4" x14ac:dyDescent="0.2">
      <c r="A185" s="1" t="s">
        <v>1862</v>
      </c>
      <c r="B185" s="1" t="s">
        <v>1863</v>
      </c>
      <c r="C185" s="1" t="s">
        <v>1864</v>
      </c>
      <c r="D185" s="1" t="s">
        <v>1865</v>
      </c>
    </row>
    <row r="186" spans="1:4" x14ac:dyDescent="0.2">
      <c r="A186" s="1" t="s">
        <v>1866</v>
      </c>
      <c r="B186" s="1" t="s">
        <v>1867</v>
      </c>
      <c r="C186" s="1" t="s">
        <v>1867</v>
      </c>
      <c r="D186" s="1" t="s">
        <v>1868</v>
      </c>
    </row>
    <row r="187" spans="1:4" x14ac:dyDescent="0.2">
      <c r="A187" s="1" t="s">
        <v>1869</v>
      </c>
      <c r="B187" s="1" t="s">
        <v>1870</v>
      </c>
      <c r="C187" s="1" t="s">
        <v>1870</v>
      </c>
      <c r="D187" s="1" t="s">
        <v>1871</v>
      </c>
    </row>
    <row r="188" spans="1:4" x14ac:dyDescent="0.2">
      <c r="A188" s="1" t="s">
        <v>1872</v>
      </c>
      <c r="B188" s="1" t="s">
        <v>1873</v>
      </c>
      <c r="C188" s="1" t="s">
        <v>1873</v>
      </c>
      <c r="D188" s="1" t="s">
        <v>1874</v>
      </c>
    </row>
    <row r="189" spans="1:4" x14ac:dyDescent="0.2">
      <c r="A189" s="1" t="s">
        <v>1875</v>
      </c>
      <c r="B189" s="1" t="s">
        <v>1876</v>
      </c>
      <c r="C189" s="1" t="s">
        <v>1876</v>
      </c>
      <c r="D189" s="1" t="s">
        <v>1877</v>
      </c>
    </row>
    <row r="190" spans="1:4" x14ac:dyDescent="0.2">
      <c r="A190" s="1" t="s">
        <v>1878</v>
      </c>
      <c r="B190" s="1" t="s">
        <v>1879</v>
      </c>
      <c r="C190" s="1" t="s">
        <v>1880</v>
      </c>
      <c r="D190" s="1" t="s">
        <v>1881</v>
      </c>
    </row>
    <row r="191" spans="1:4" x14ac:dyDescent="0.2">
      <c r="A191" s="1" t="s">
        <v>1882</v>
      </c>
      <c r="B191" s="1" t="s">
        <v>1883</v>
      </c>
      <c r="C191" s="1" t="s">
        <v>1884</v>
      </c>
      <c r="D191" s="1" t="s">
        <v>1885</v>
      </c>
    </row>
    <row r="192" spans="1:4" x14ac:dyDescent="0.2">
      <c r="A192" s="1" t="s">
        <v>1886</v>
      </c>
      <c r="B192" s="1" t="s">
        <v>1887</v>
      </c>
      <c r="C192" s="1" t="s">
        <v>1887</v>
      </c>
      <c r="D192" s="1" t="s">
        <v>1888</v>
      </c>
    </row>
    <row r="193" spans="1:4" x14ac:dyDescent="0.2">
      <c r="A193" s="1" t="s">
        <v>1889</v>
      </c>
      <c r="B193" s="1" t="s">
        <v>1890</v>
      </c>
      <c r="C193" s="1" t="s">
        <v>1890</v>
      </c>
      <c r="D193" s="1" t="s">
        <v>1891</v>
      </c>
    </row>
    <row r="194" spans="1:4" x14ac:dyDescent="0.2">
      <c r="A194" s="1" t="s">
        <v>1892</v>
      </c>
      <c r="B194" s="1" t="s">
        <v>1893</v>
      </c>
      <c r="C194" s="1" t="s">
        <v>1894</v>
      </c>
      <c r="D194" s="1" t="s">
        <v>1895</v>
      </c>
    </row>
    <row r="195" spans="1:4" x14ac:dyDescent="0.2">
      <c r="A195" s="1" t="s">
        <v>1896</v>
      </c>
      <c r="B195" s="1" t="s">
        <v>1897</v>
      </c>
      <c r="C195" s="1" t="s">
        <v>1898</v>
      </c>
      <c r="D195" s="1" t="s">
        <v>1899</v>
      </c>
    </row>
    <row r="196" spans="1:4" x14ac:dyDescent="0.2">
      <c r="A196" s="1" t="s">
        <v>1900</v>
      </c>
      <c r="B196" s="1" t="s">
        <v>2113</v>
      </c>
      <c r="C196" s="1" t="s">
        <v>2113</v>
      </c>
      <c r="D196" s="1" t="s">
        <v>1901</v>
      </c>
    </row>
    <row r="197" spans="1:4" x14ac:dyDescent="0.2">
      <c r="A197" s="1" t="s">
        <v>1902</v>
      </c>
      <c r="B197" s="1" t="s">
        <v>1903</v>
      </c>
      <c r="C197" s="1" t="s">
        <v>1904</v>
      </c>
      <c r="D197" s="1" t="s">
        <v>1905</v>
      </c>
    </row>
    <row r="198" spans="1:4" x14ac:dyDescent="0.2">
      <c r="A198" s="1" t="s">
        <v>1906</v>
      </c>
      <c r="B198" s="1" t="s">
        <v>1907</v>
      </c>
      <c r="C198" s="1" t="s">
        <v>1908</v>
      </c>
      <c r="D198" s="1" t="s">
        <v>1909</v>
      </c>
    </row>
    <row r="199" spans="1:4" x14ac:dyDescent="0.2">
      <c r="A199" s="1" t="s">
        <v>1910</v>
      </c>
      <c r="B199" s="1" t="s">
        <v>1911</v>
      </c>
      <c r="C199" s="1" t="s">
        <v>1912</v>
      </c>
      <c r="D199" s="1" t="s">
        <v>1913</v>
      </c>
    </row>
    <row r="200" spans="1:4" x14ac:dyDescent="0.2">
      <c r="A200" s="1" t="s">
        <v>1914</v>
      </c>
      <c r="B200" s="1" t="s">
        <v>1915</v>
      </c>
      <c r="C200" s="1" t="s">
        <v>1916</v>
      </c>
      <c r="D200" s="1" t="s">
        <v>1917</v>
      </c>
    </row>
    <row r="201" spans="1:4" x14ac:dyDescent="0.2">
      <c r="A201" s="1" t="s">
        <v>1918</v>
      </c>
      <c r="B201" s="1" t="s">
        <v>1919</v>
      </c>
      <c r="C201" s="1" t="s">
        <v>1920</v>
      </c>
      <c r="D201" s="1" t="s">
        <v>1921</v>
      </c>
    </row>
    <row r="202" spans="1:4" x14ac:dyDescent="0.2">
      <c r="A202" s="1" t="s">
        <v>1922</v>
      </c>
      <c r="B202" s="1" t="s">
        <v>1923</v>
      </c>
      <c r="C202" s="1" t="s">
        <v>1924</v>
      </c>
      <c r="D202" s="1" t="s">
        <v>1925</v>
      </c>
    </row>
    <row r="203" spans="1:4" x14ac:dyDescent="0.2">
      <c r="A203" s="1" t="s">
        <v>1926</v>
      </c>
      <c r="B203" s="1" t="s">
        <v>1927</v>
      </c>
      <c r="C203" s="1" t="s">
        <v>1928</v>
      </c>
      <c r="D203" s="1" t="s">
        <v>1929</v>
      </c>
    </row>
    <row r="204" spans="1:4" x14ac:dyDescent="0.2">
      <c r="A204" s="1" t="s">
        <v>1930</v>
      </c>
      <c r="B204" s="1" t="s">
        <v>1931</v>
      </c>
      <c r="C204" s="1" t="s">
        <v>1932</v>
      </c>
      <c r="D204" s="1" t="s">
        <v>1933</v>
      </c>
    </row>
    <row r="205" spans="1:4" x14ac:dyDescent="0.2">
      <c r="A205" s="1" t="s">
        <v>1934</v>
      </c>
      <c r="B205" s="1" t="s">
        <v>1935</v>
      </c>
      <c r="C205" s="1" t="s">
        <v>1936</v>
      </c>
      <c r="D205" s="1" t="s">
        <v>1937</v>
      </c>
    </row>
    <row r="206" spans="1:4" x14ac:dyDescent="0.2">
      <c r="A206" s="1" t="s">
        <v>1938</v>
      </c>
      <c r="B206" s="1" t="s">
        <v>1939</v>
      </c>
      <c r="C206" s="1" t="s">
        <v>1940</v>
      </c>
      <c r="D206" s="1" t="s">
        <v>1941</v>
      </c>
    </row>
    <row r="207" spans="1:4" x14ac:dyDescent="0.2">
      <c r="A207" s="1" t="s">
        <v>1942</v>
      </c>
      <c r="B207" s="1" t="s">
        <v>1943</v>
      </c>
      <c r="C207" s="1" t="s">
        <v>1944</v>
      </c>
      <c r="D207" s="1" t="s">
        <v>1945</v>
      </c>
    </row>
    <row r="208" spans="1:4" x14ac:dyDescent="0.2">
      <c r="A208" s="1" t="s">
        <v>1946</v>
      </c>
      <c r="B208" s="1" t="s">
        <v>1947</v>
      </c>
      <c r="C208" s="1" t="s">
        <v>1948</v>
      </c>
      <c r="D208" s="1" t="s">
        <v>1949</v>
      </c>
    </row>
    <row r="209" spans="1:4" x14ac:dyDescent="0.2">
      <c r="A209" s="1" t="s">
        <v>1950</v>
      </c>
      <c r="B209" s="1" t="s">
        <v>1951</v>
      </c>
      <c r="C209" s="1" t="s">
        <v>1952</v>
      </c>
      <c r="D209" s="1" t="s">
        <v>1953</v>
      </c>
    </row>
    <row r="210" spans="1:4" x14ac:dyDescent="0.2">
      <c r="A210" s="1" t="s">
        <v>1954</v>
      </c>
      <c r="B210" s="1" t="s">
        <v>1955</v>
      </c>
      <c r="C210" s="1" t="s">
        <v>1956</v>
      </c>
      <c r="D210" s="1" t="s">
        <v>1957</v>
      </c>
    </row>
    <row r="211" spans="1:4" x14ac:dyDescent="0.2">
      <c r="A211" s="1" t="s">
        <v>1958</v>
      </c>
      <c r="B211" s="1" t="s">
        <v>2114</v>
      </c>
      <c r="C211" s="1" t="s">
        <v>1959</v>
      </c>
      <c r="D211" s="1" t="s">
        <v>2115</v>
      </c>
    </row>
    <row r="212" spans="1:4" x14ac:dyDescent="0.2">
      <c r="A212" s="1" t="s">
        <v>1960</v>
      </c>
      <c r="B212" s="1" t="s">
        <v>1961</v>
      </c>
      <c r="C212" s="1" t="s">
        <v>1962</v>
      </c>
      <c r="D212" s="1" t="s">
        <v>1963</v>
      </c>
    </row>
    <row r="213" spans="1:4" x14ac:dyDescent="0.2">
      <c r="A213" s="1" t="s">
        <v>1964</v>
      </c>
      <c r="B213" s="1" t="s">
        <v>1965</v>
      </c>
      <c r="C213" s="1" t="s">
        <v>1966</v>
      </c>
      <c r="D213" s="1" t="s">
        <v>1967</v>
      </c>
    </row>
    <row r="214" spans="1:4" x14ac:dyDescent="0.2">
      <c r="A214" s="1" t="s">
        <v>1968</v>
      </c>
      <c r="B214" s="1" t="s">
        <v>1969</v>
      </c>
      <c r="C214" s="1" t="s">
        <v>1970</v>
      </c>
      <c r="D214" s="1" t="s">
        <v>1971</v>
      </c>
    </row>
    <row r="215" spans="1:4" x14ac:dyDescent="0.2">
      <c r="A215" s="1" t="s">
        <v>1972</v>
      </c>
      <c r="B215" s="1" t="s">
        <v>1973</v>
      </c>
      <c r="C215" s="1" t="s">
        <v>1974</v>
      </c>
      <c r="D215" s="1" t="s">
        <v>1975</v>
      </c>
    </row>
    <row r="216" spans="1:4" x14ac:dyDescent="0.2">
      <c r="A216" s="1" t="s">
        <v>1976</v>
      </c>
      <c r="B216" s="1" t="s">
        <v>1977</v>
      </c>
      <c r="C216" s="1" t="s">
        <v>1978</v>
      </c>
      <c r="D216" s="1" t="s">
        <v>1979</v>
      </c>
    </row>
    <row r="217" spans="1:4" x14ac:dyDescent="0.2">
      <c r="A217" s="1" t="s">
        <v>1980</v>
      </c>
      <c r="B217" s="1" t="s">
        <v>1981</v>
      </c>
      <c r="C217" s="1" t="s">
        <v>1982</v>
      </c>
      <c r="D217" s="1" t="s">
        <v>1983</v>
      </c>
    </row>
    <row r="218" spans="1:4" x14ac:dyDescent="0.2">
      <c r="A218" s="1" t="s">
        <v>1984</v>
      </c>
      <c r="B218" s="1" t="s">
        <v>1985</v>
      </c>
      <c r="C218" s="1" t="s">
        <v>1986</v>
      </c>
      <c r="D218" s="1" t="s">
        <v>1987</v>
      </c>
    </row>
    <row r="219" spans="1:4" x14ac:dyDescent="0.2">
      <c r="A219" s="1" t="s">
        <v>1988</v>
      </c>
      <c r="B219" s="1" t="s">
        <v>1989</v>
      </c>
      <c r="C219" s="1" t="s">
        <v>1990</v>
      </c>
      <c r="D219" s="1" t="s">
        <v>1991</v>
      </c>
    </row>
    <row r="220" spans="1:4" x14ac:dyDescent="0.2">
      <c r="A220" s="1" t="s">
        <v>1992</v>
      </c>
      <c r="B220" s="1" t="s">
        <v>1993</v>
      </c>
      <c r="C220" s="1" t="s">
        <v>1994</v>
      </c>
      <c r="D220" s="1" t="s">
        <v>1995</v>
      </c>
    </row>
    <row r="221" spans="1:4" x14ac:dyDescent="0.2">
      <c r="A221" s="1" t="s">
        <v>1996</v>
      </c>
      <c r="B221" s="1" t="s">
        <v>1997</v>
      </c>
      <c r="C221" s="1" t="s">
        <v>1998</v>
      </c>
      <c r="D221" s="1" t="s">
        <v>1999</v>
      </c>
    </row>
    <row r="222" spans="1:4" x14ac:dyDescent="0.2">
      <c r="A222" s="1" t="s">
        <v>2000</v>
      </c>
      <c r="B222" s="1" t="s">
        <v>2001</v>
      </c>
      <c r="C222" s="1" t="s">
        <v>2002</v>
      </c>
      <c r="D222" s="1" t="s">
        <v>2003</v>
      </c>
    </row>
    <row r="223" spans="1:4" x14ac:dyDescent="0.2">
      <c r="A223" s="1" t="s">
        <v>2004</v>
      </c>
      <c r="B223" s="1" t="s">
        <v>2005</v>
      </c>
      <c r="C223" s="1" t="s">
        <v>2006</v>
      </c>
      <c r="D223" s="1" t="s">
        <v>2007</v>
      </c>
    </row>
    <row r="224" spans="1:4" x14ac:dyDescent="0.2">
      <c r="A224" s="1" t="s">
        <v>2008</v>
      </c>
      <c r="B224" s="1" t="s">
        <v>2009</v>
      </c>
      <c r="C224" s="1" t="s">
        <v>2010</v>
      </c>
      <c r="D224" s="1" t="s">
        <v>2011</v>
      </c>
    </row>
    <row r="225" spans="1:4" x14ac:dyDescent="0.2">
      <c r="A225" s="1" t="s">
        <v>2012</v>
      </c>
      <c r="B225" s="1" t="s">
        <v>2013</v>
      </c>
      <c r="C225" s="1" t="s">
        <v>2014</v>
      </c>
      <c r="D225" s="1" t="s">
        <v>2015</v>
      </c>
    </row>
    <row r="226" spans="1:4" x14ac:dyDescent="0.2">
      <c r="A226" s="1" t="s">
        <v>2016</v>
      </c>
      <c r="B226" s="1" t="s">
        <v>2017</v>
      </c>
      <c r="C226" s="1" t="s">
        <v>2018</v>
      </c>
      <c r="D226" s="1" t="s">
        <v>2019</v>
      </c>
    </row>
    <row r="227" spans="1:4" x14ac:dyDescent="0.2">
      <c r="A227" s="1" t="s">
        <v>2020</v>
      </c>
      <c r="B227" s="1" t="s">
        <v>2021</v>
      </c>
      <c r="C227" s="1" t="s">
        <v>2021</v>
      </c>
      <c r="D227" s="1" t="s">
        <v>2022</v>
      </c>
    </row>
    <row r="228" spans="1:4" x14ac:dyDescent="0.2">
      <c r="A228" s="1" t="s">
        <v>2023</v>
      </c>
      <c r="B228" s="1" t="s">
        <v>2024</v>
      </c>
      <c r="C228" s="1" t="s">
        <v>2025</v>
      </c>
      <c r="D228" s="1" t="s">
        <v>2026</v>
      </c>
    </row>
    <row r="229" spans="1:4" x14ac:dyDescent="0.2">
      <c r="A229" s="1" t="s">
        <v>2027</v>
      </c>
      <c r="B229" s="1" t="s">
        <v>2028</v>
      </c>
      <c r="C229" s="1" t="s">
        <v>2029</v>
      </c>
      <c r="D229" s="1" t="s">
        <v>2030</v>
      </c>
    </row>
    <row r="230" spans="1:4" x14ac:dyDescent="0.2">
      <c r="A230" s="1" t="s">
        <v>2031</v>
      </c>
      <c r="B230" s="1" t="s">
        <v>2032</v>
      </c>
      <c r="C230" s="1" t="s">
        <v>2033</v>
      </c>
      <c r="D230" s="1" t="s">
        <v>2034</v>
      </c>
    </row>
    <row r="231" spans="1:4" x14ac:dyDescent="0.2">
      <c r="A231" s="1" t="s">
        <v>2035</v>
      </c>
      <c r="B231" s="1" t="s">
        <v>2036</v>
      </c>
      <c r="C231" s="1" t="s">
        <v>2037</v>
      </c>
      <c r="D231" s="1" t="s">
        <v>2038</v>
      </c>
    </row>
    <row r="232" spans="1:4" x14ac:dyDescent="0.2">
      <c r="A232" s="1" t="s">
        <v>2039</v>
      </c>
      <c r="B232" s="1" t="s">
        <v>2040</v>
      </c>
      <c r="C232" s="1" t="s">
        <v>2041</v>
      </c>
      <c r="D232" s="1" t="s">
        <v>2042</v>
      </c>
    </row>
    <row r="233" spans="1:4" x14ac:dyDescent="0.2">
      <c r="A233" s="1" t="s">
        <v>2043</v>
      </c>
      <c r="B233" s="1" t="s">
        <v>2044</v>
      </c>
      <c r="C233" s="1" t="s">
        <v>2045</v>
      </c>
      <c r="D233" s="1" t="s">
        <v>2046</v>
      </c>
    </row>
    <row r="234" spans="1:4" x14ac:dyDescent="0.2">
      <c r="A234" s="1" t="s">
        <v>2047</v>
      </c>
      <c r="B234" s="1" t="s">
        <v>2048</v>
      </c>
      <c r="C234" s="1" t="s">
        <v>2049</v>
      </c>
      <c r="D234" s="1" t="s">
        <v>2050</v>
      </c>
    </row>
    <row r="235" spans="1:4" x14ac:dyDescent="0.2">
      <c r="A235" s="1" t="s">
        <v>2051</v>
      </c>
      <c r="B235" s="1" t="s">
        <v>2052</v>
      </c>
      <c r="C235" s="1" t="s">
        <v>2053</v>
      </c>
      <c r="D235" s="1" t="s">
        <v>2054</v>
      </c>
    </row>
    <row r="236" spans="1:4" x14ac:dyDescent="0.2">
      <c r="A236" s="1" t="s">
        <v>2055</v>
      </c>
      <c r="B236" s="1" t="s">
        <v>2056</v>
      </c>
      <c r="C236" s="1" t="s">
        <v>2057</v>
      </c>
      <c r="D236" s="1" t="s">
        <v>2058</v>
      </c>
    </row>
    <row r="237" spans="1:4" x14ac:dyDescent="0.2">
      <c r="A237" s="1" t="s">
        <v>2059</v>
      </c>
      <c r="B237" s="1" t="s">
        <v>2060</v>
      </c>
      <c r="C237" s="1" t="s">
        <v>2061</v>
      </c>
      <c r="D237" s="1" t="s">
        <v>2062</v>
      </c>
    </row>
    <row r="238" spans="1:4" x14ac:dyDescent="0.2">
      <c r="A238" s="1" t="s">
        <v>2063</v>
      </c>
      <c r="B238" s="1" t="s">
        <v>2064</v>
      </c>
      <c r="C238" s="1" t="s">
        <v>2065</v>
      </c>
      <c r="D238" s="1" t="s">
        <v>2066</v>
      </c>
    </row>
    <row r="239" spans="1:4" x14ac:dyDescent="0.2">
      <c r="A239" s="1" t="s">
        <v>2067</v>
      </c>
      <c r="B239" s="1" t="s">
        <v>2068</v>
      </c>
      <c r="C239" s="1" t="s">
        <v>2069</v>
      </c>
      <c r="D239" s="1" t="s">
        <v>2070</v>
      </c>
    </row>
    <row r="240" spans="1:4" x14ac:dyDescent="0.2">
      <c r="A240" s="1" t="s">
        <v>2071</v>
      </c>
      <c r="B240" s="1" t="s">
        <v>2072</v>
      </c>
      <c r="C240" s="1" t="s">
        <v>2073</v>
      </c>
      <c r="D240" s="1" t="s">
        <v>2074</v>
      </c>
    </row>
    <row r="241" spans="1:4" x14ac:dyDescent="0.2">
      <c r="A241" s="1" t="s">
        <v>2075</v>
      </c>
      <c r="B241" s="1" t="s">
        <v>2076</v>
      </c>
      <c r="C241" s="1" t="s">
        <v>2077</v>
      </c>
      <c r="D241" s="1" t="s">
        <v>2078</v>
      </c>
    </row>
    <row r="242" spans="1:4" x14ac:dyDescent="0.2">
      <c r="A242" s="1" t="s">
        <v>2079</v>
      </c>
      <c r="B242" s="1" t="s">
        <v>2080</v>
      </c>
      <c r="C242" s="1" t="s">
        <v>2081</v>
      </c>
      <c r="D242" s="1" t="s">
        <v>2082</v>
      </c>
    </row>
    <row r="243" spans="1:4" x14ac:dyDescent="0.2">
      <c r="A243" s="1" t="s">
        <v>2083</v>
      </c>
      <c r="B243" s="1" t="s">
        <v>2084</v>
      </c>
      <c r="C243" s="1" t="s">
        <v>2085</v>
      </c>
      <c r="D243" s="1" t="s">
        <v>2086</v>
      </c>
    </row>
    <row r="244" spans="1:4" x14ac:dyDescent="0.2">
      <c r="A244" s="1" t="s">
        <v>2087</v>
      </c>
      <c r="B244" s="1" t="s">
        <v>2088</v>
      </c>
      <c r="C244" s="1" t="s">
        <v>2088</v>
      </c>
      <c r="D244" s="1" t="s">
        <v>2089</v>
      </c>
    </row>
    <row r="245" spans="1:4" x14ac:dyDescent="0.2">
      <c r="A245" s="1" t="s">
        <v>2090</v>
      </c>
      <c r="B245" s="1" t="s">
        <v>2091</v>
      </c>
      <c r="C245" s="1" t="s">
        <v>2092</v>
      </c>
      <c r="D245" s="1" t="s">
        <v>2093</v>
      </c>
    </row>
    <row r="246" spans="1:4" x14ac:dyDescent="0.2">
      <c r="A246" s="1" t="s">
        <v>2094</v>
      </c>
      <c r="B246" s="1" t="s">
        <v>2095</v>
      </c>
      <c r="C246" s="1" t="s">
        <v>2096</v>
      </c>
      <c r="D246" s="1" t="s">
        <v>2097</v>
      </c>
    </row>
    <row r="247" spans="1:4" x14ac:dyDescent="0.2">
      <c r="A247" s="1" t="s">
        <v>2098</v>
      </c>
      <c r="B247" s="1" t="s">
        <v>2099</v>
      </c>
      <c r="C247" s="1" t="s">
        <v>2100</v>
      </c>
      <c r="D247" s="1" t="s">
        <v>2101</v>
      </c>
    </row>
    <row r="248" spans="1:4" x14ac:dyDescent="0.2">
      <c r="A248" s="1" t="s">
        <v>2116</v>
      </c>
      <c r="B248" s="1" t="s">
        <v>2117</v>
      </c>
      <c r="C248" s="1" t="s">
        <v>2117</v>
      </c>
      <c r="D248" s="1" t="s">
        <v>2118</v>
      </c>
    </row>
    <row r="249" spans="1:4" x14ac:dyDescent="0.2">
      <c r="A249" s="1" t="s">
        <v>2119</v>
      </c>
      <c r="B249" s="1" t="s">
        <v>2120</v>
      </c>
      <c r="C249" s="1" t="s">
        <v>2120</v>
      </c>
      <c r="D249" s="1" t="s">
        <v>2121</v>
      </c>
    </row>
    <row r="250" spans="1:4" x14ac:dyDescent="0.2">
      <c r="A250" s="1" t="s">
        <v>2122</v>
      </c>
      <c r="B250" s="1" t="s">
        <v>2123</v>
      </c>
      <c r="C250" s="1" t="s">
        <v>2124</v>
      </c>
      <c r="D250" s="1" t="s">
        <v>2125</v>
      </c>
    </row>
    <row r="251" spans="1:4" x14ac:dyDescent="0.2">
      <c r="A251" s="1" t="s">
        <v>2126</v>
      </c>
      <c r="B251" s="1" t="s">
        <v>2127</v>
      </c>
      <c r="C251" s="1" t="s">
        <v>2128</v>
      </c>
      <c r="D251" s="1" t="s">
        <v>2129</v>
      </c>
    </row>
    <row r="252" spans="1:4" x14ac:dyDescent="0.2">
      <c r="A252" s="1" t="s">
        <v>2130</v>
      </c>
      <c r="B252" s="1" t="s">
        <v>2131</v>
      </c>
      <c r="C252" s="1" t="s">
        <v>2132</v>
      </c>
      <c r="D252" s="1" t="s">
        <v>2133</v>
      </c>
    </row>
    <row r="253" spans="1:4" x14ac:dyDescent="0.2">
      <c r="A253" s="1" t="s">
        <v>2134</v>
      </c>
      <c r="B253" s="1" t="s">
        <v>2135</v>
      </c>
      <c r="C253" s="1" t="s">
        <v>2136</v>
      </c>
      <c r="D253" s="1" t="s">
        <v>2137</v>
      </c>
    </row>
    <row r="254" spans="1:4" x14ac:dyDescent="0.2">
      <c r="A254" s="1" t="s">
        <v>2138</v>
      </c>
      <c r="B254" s="1" t="s">
        <v>2139</v>
      </c>
      <c r="C254" s="1" t="s">
        <v>2140</v>
      </c>
      <c r="D254" s="1" t="s">
        <v>2141</v>
      </c>
    </row>
    <row r="255" spans="1:4" x14ac:dyDescent="0.2">
      <c r="A255" s="1" t="s">
        <v>2142</v>
      </c>
      <c r="B255" s="1" t="s">
        <v>2143</v>
      </c>
      <c r="C255" s="1" t="s">
        <v>2144</v>
      </c>
      <c r="D255" s="1" t="s">
        <v>2145</v>
      </c>
    </row>
  </sheetData>
  <sheetProtection autoFilter="0"/>
  <sortState xmlns:xlrd2="http://schemas.microsoft.com/office/spreadsheetml/2017/richdata2" ref="A1:H125">
    <sortCondition ref="A16"/>
  </sortState>
  <phoneticPr fontId="4" type="noConversion"/>
  <dataValidations count="1">
    <dataValidation type="list" allowBlank="1" showInputMessage="1" showErrorMessage="1" sqref="E1:H15" xr:uid="{00000000-0002-0000-0600-000000000000}">
      <formula1>OFFSET(IF(LANG3="ENGLISH_I_ANGLAIS",ENGLISH_I_ANGLAISSPC,IF(LANG3="CODE",ENGLISH_I_ANGLAISSPC,FRANÇAIS_I_FRENCHSPC)),-1,)</formula1>
    </dataValidation>
  </dataValidations>
  <hyperlinks>
    <hyperlink ref="I1" location="PRICE!A1" display="1" xr:uid="{00000000-0004-0000-0600-000000000000}"/>
  </hyperlinks>
  <pageMargins left="0.75" right="0.75" top="1" bottom="1" header="0.5" footer="0.5"/>
  <pageSetup paperSize="9" orientation="portrait" horizontalDpi="1200" verticalDpi="1200"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L3"/>
  <sheetViews>
    <sheetView workbookViewId="0">
      <selection activeCell="K1" sqref="K1"/>
    </sheetView>
  </sheetViews>
  <sheetFormatPr defaultColWidth="9.140625" defaultRowHeight="12.75" x14ac:dyDescent="0.2"/>
  <cols>
    <col min="1" max="1" width="9.140625" style="1"/>
    <col min="2" max="2" width="24.42578125" style="1" bestFit="1" customWidth="1"/>
    <col min="3" max="3" width="19.7109375" style="1" bestFit="1" customWidth="1"/>
    <col min="4" max="16384" width="9.140625" style="1"/>
  </cols>
  <sheetData>
    <row r="1" spans="1:12" ht="18" x14ac:dyDescent="0.2">
      <c r="A1" s="25" t="s">
        <v>899</v>
      </c>
      <c r="B1" s="102" t="s">
        <v>1355</v>
      </c>
      <c r="C1" s="102" t="s">
        <v>1357</v>
      </c>
      <c r="K1" s="93">
        <v>1</v>
      </c>
      <c r="L1" s="37" t="s">
        <v>921</v>
      </c>
    </row>
    <row r="2" spans="1:12" x14ac:dyDescent="0.2">
      <c r="A2" s="25" t="s">
        <v>900</v>
      </c>
      <c r="B2" s="102" t="s">
        <v>1356</v>
      </c>
      <c r="C2" s="102" t="s">
        <v>1358</v>
      </c>
      <c r="F2" s="45"/>
    </row>
    <row r="3" spans="1:12" x14ac:dyDescent="0.2">
      <c r="G3" s="37"/>
      <c r="H3" s="8"/>
    </row>
  </sheetData>
  <sheetProtection password="CC55" sheet="1" objects="1" scenarios="1"/>
  <sortState xmlns:xlrd2="http://schemas.microsoft.com/office/spreadsheetml/2017/richdata2" ref="A1:J3">
    <sortCondition ref="A1"/>
  </sortState>
  <phoneticPr fontId="22" type="noConversion"/>
  <hyperlinks>
    <hyperlink ref="K1" location="PRICE!A1" display="1" xr:uid="{00000000-0004-0000-0700-000000000000}"/>
  </hyperlink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L9"/>
  <sheetViews>
    <sheetView workbookViewId="0">
      <selection activeCell="K1" sqref="K1"/>
    </sheetView>
  </sheetViews>
  <sheetFormatPr defaultColWidth="9.140625" defaultRowHeight="12.75" x14ac:dyDescent="0.2"/>
  <cols>
    <col min="1" max="1" width="17" style="1" customWidth="1"/>
    <col min="2" max="2" width="33.28515625" style="1" bestFit="1" customWidth="1"/>
    <col min="3" max="3" width="43.85546875" style="1" bestFit="1" customWidth="1"/>
    <col min="4" max="10" width="5.7109375" style="1" customWidth="1"/>
    <col min="11" max="16384" width="9.140625" style="1"/>
  </cols>
  <sheetData>
    <row r="1" spans="1:12" ht="18.75" thickBot="1" x14ac:dyDescent="0.25">
      <c r="A1" s="42" t="s">
        <v>953</v>
      </c>
      <c r="B1" s="41" t="s">
        <v>1061</v>
      </c>
      <c r="C1" s="41" t="s">
        <v>1064</v>
      </c>
      <c r="F1" s="46"/>
      <c r="G1" s="37"/>
      <c r="K1" s="93">
        <v>1</v>
      </c>
      <c r="L1" s="37" t="s">
        <v>921</v>
      </c>
    </row>
    <row r="2" spans="1:12" x14ac:dyDescent="0.2">
      <c r="A2" s="49" t="s">
        <v>972</v>
      </c>
      <c r="B2" s="50" t="s">
        <v>1062</v>
      </c>
      <c r="C2" s="50" t="s">
        <v>1063</v>
      </c>
      <c r="H2" s="8"/>
    </row>
    <row r="3" spans="1:12" x14ac:dyDescent="0.2">
      <c r="A3" s="70"/>
      <c r="B3" s="70"/>
      <c r="C3" s="70"/>
    </row>
    <row r="4" spans="1:12" x14ac:dyDescent="0.2">
      <c r="A4" s="100"/>
      <c r="B4" s="70"/>
      <c r="C4" s="70"/>
    </row>
    <row r="5" spans="1:12" x14ac:dyDescent="0.2">
      <c r="A5" s="70"/>
      <c r="B5" s="70"/>
      <c r="C5" s="70"/>
    </row>
    <row r="6" spans="1:12" x14ac:dyDescent="0.2">
      <c r="A6" s="70"/>
      <c r="B6" s="70"/>
      <c r="C6" s="70"/>
    </row>
    <row r="7" spans="1:12" x14ac:dyDescent="0.2">
      <c r="A7" s="70"/>
      <c r="B7" s="70"/>
      <c r="C7" s="70"/>
    </row>
    <row r="8" spans="1:12" x14ac:dyDescent="0.2">
      <c r="A8" s="70"/>
      <c r="B8" s="70"/>
      <c r="C8" s="70"/>
    </row>
    <row r="9" spans="1:12" x14ac:dyDescent="0.2">
      <c r="A9" s="70"/>
      <c r="B9" s="70"/>
      <c r="C9" s="70"/>
    </row>
  </sheetData>
  <sheetProtection algorithmName="SHA-512" hashValue="PVXEleH9m6MtvMaljvUldLPbAjdF2rw9jmt3U8muw8hMFIFhjJbHJ+2aYj0c13/Zc34+sJep0VSbO7+c29xOMw==" saltValue="T4/7/fVft6+tPjqKqvzYUA==" spinCount="100000" sheet="1" objects="1" scenarios="1"/>
  <sortState xmlns:xlrd2="http://schemas.microsoft.com/office/spreadsheetml/2017/richdata2" ref="A1:J9">
    <sortCondition ref="A1"/>
  </sortState>
  <phoneticPr fontId="4" type="noConversion"/>
  <hyperlinks>
    <hyperlink ref="K1" location="PRICE!A1" display="1" xr:uid="{00000000-0004-0000-0800-000000000000}"/>
  </hyperlinks>
  <pageMargins left="0.75" right="0.75" top="1" bottom="1" header="0.5" footer="0.5"/>
  <pageSetup paperSize="9"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L4"/>
  <sheetViews>
    <sheetView workbookViewId="0">
      <selection activeCell="K1" sqref="K1"/>
    </sheetView>
  </sheetViews>
  <sheetFormatPr defaultColWidth="9.140625" defaultRowHeight="12.75" x14ac:dyDescent="0.2"/>
  <cols>
    <col min="1" max="1" width="9.140625" style="1"/>
    <col min="2" max="2" width="24.42578125" style="1" customWidth="1"/>
    <col min="3" max="3" width="31.7109375" style="1" customWidth="1"/>
    <col min="4" max="10" width="5.7109375" style="1" customWidth="1"/>
    <col min="11" max="16384" width="9.140625" style="1"/>
  </cols>
  <sheetData>
    <row r="1" spans="1:12" ht="18" x14ac:dyDescent="0.2">
      <c r="A1" s="72" t="s">
        <v>861</v>
      </c>
      <c r="B1" s="73" t="s">
        <v>1087</v>
      </c>
      <c r="C1" s="73" t="s">
        <v>1091</v>
      </c>
      <c r="F1" s="45"/>
      <c r="G1" s="37"/>
      <c r="K1" s="93">
        <v>1</v>
      </c>
      <c r="L1" s="37" t="s">
        <v>921</v>
      </c>
    </row>
    <row r="2" spans="1:12" x14ac:dyDescent="0.2">
      <c r="A2" s="72" t="s">
        <v>970</v>
      </c>
      <c r="B2" s="73" t="s">
        <v>1088</v>
      </c>
      <c r="C2" s="73" t="s">
        <v>1092</v>
      </c>
    </row>
    <row r="3" spans="1:12" x14ac:dyDescent="0.2">
      <c r="A3" s="72" t="s">
        <v>971</v>
      </c>
      <c r="B3" s="73" t="s">
        <v>1089</v>
      </c>
      <c r="C3" s="73" t="s">
        <v>1093</v>
      </c>
    </row>
    <row r="4" spans="1:12" x14ac:dyDescent="0.2">
      <c r="A4" s="72" t="s">
        <v>876</v>
      </c>
      <c r="B4" s="73" t="s">
        <v>1090</v>
      </c>
      <c r="C4" s="73" t="s">
        <v>1094</v>
      </c>
    </row>
  </sheetData>
  <sheetProtection algorithmName="SHA-512" hashValue="KjyxTLYW3QdAEFJuXWi+uSec0Ot4+B2mGNYmw+u7y5HuLWVWPCPM7WjY3xHYSXisf4ZkxpjFzxCqeTrDY1dWUQ==" saltValue="XKdSy5acQVbSv2gWjHRl4Q==" spinCount="100000" sheet="1" objects="1" scenarios="1"/>
  <sortState xmlns:xlrd2="http://schemas.microsoft.com/office/spreadsheetml/2017/richdata2" ref="A1:J4">
    <sortCondition ref="A1"/>
  </sortState>
  <phoneticPr fontId="4" type="noConversion"/>
  <hyperlinks>
    <hyperlink ref="K1" location="PRICE!A1" display="1" xr:uid="{00000000-0004-0000-0900-000000000000}"/>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16"/>
  <sheetViews>
    <sheetView workbookViewId="0">
      <selection activeCell="K1" sqref="K1"/>
    </sheetView>
  </sheetViews>
  <sheetFormatPr defaultColWidth="9.140625" defaultRowHeight="12.75" x14ac:dyDescent="0.2"/>
  <cols>
    <col min="1" max="1" width="9.140625" style="1"/>
    <col min="2" max="2" width="33.7109375" style="1" customWidth="1"/>
    <col min="3" max="3" width="36.5703125" style="1" customWidth="1"/>
    <col min="4" max="16384" width="9.140625" style="1"/>
  </cols>
  <sheetData>
    <row r="1" spans="1:12" ht="24.95" customHeight="1" x14ac:dyDescent="0.2">
      <c r="A1" s="72" t="s">
        <v>963</v>
      </c>
      <c r="B1" s="73" t="s">
        <v>1075</v>
      </c>
      <c r="C1" s="73" t="s">
        <v>1081</v>
      </c>
      <c r="G1" s="37"/>
      <c r="K1" s="93">
        <v>1</v>
      </c>
      <c r="L1" s="37" t="s">
        <v>921</v>
      </c>
    </row>
    <row r="2" spans="1:12" ht="24.95" customHeight="1" x14ac:dyDescent="0.2">
      <c r="A2" s="72" t="s">
        <v>959</v>
      </c>
      <c r="B2" s="73" t="s">
        <v>1076</v>
      </c>
      <c r="C2" s="73" t="s">
        <v>1082</v>
      </c>
      <c r="F2" s="45"/>
    </row>
    <row r="3" spans="1:12" ht="24.95" customHeight="1" x14ac:dyDescent="0.2">
      <c r="A3" s="72" t="s">
        <v>960</v>
      </c>
      <c r="B3" s="73" t="s">
        <v>1077</v>
      </c>
      <c r="C3" s="73" t="s">
        <v>1083</v>
      </c>
    </row>
    <row r="4" spans="1:12" ht="24.95" customHeight="1" x14ac:dyDescent="0.2">
      <c r="A4" s="72" t="s">
        <v>962</v>
      </c>
      <c r="B4" s="73" t="s">
        <v>1078</v>
      </c>
      <c r="C4" s="73" t="s">
        <v>1084</v>
      </c>
    </row>
    <row r="5" spans="1:12" ht="24.95" customHeight="1" x14ac:dyDescent="0.2">
      <c r="A5" s="72" t="s">
        <v>961</v>
      </c>
      <c r="B5" s="73" t="s">
        <v>1079</v>
      </c>
      <c r="C5" s="73" t="s">
        <v>1085</v>
      </c>
    </row>
    <row r="6" spans="1:12" ht="24.95" customHeight="1" x14ac:dyDescent="0.2">
      <c r="A6" s="72" t="s">
        <v>958</v>
      </c>
      <c r="B6" s="73" t="s">
        <v>1080</v>
      </c>
      <c r="C6" s="73" t="s">
        <v>1086</v>
      </c>
    </row>
    <row r="7" spans="1:12" ht="24.95" customHeight="1" x14ac:dyDescent="0.2"/>
    <row r="8" spans="1:12" ht="24.95" customHeight="1" x14ac:dyDescent="0.2"/>
    <row r="9" spans="1:12" ht="24.95" customHeight="1" x14ac:dyDescent="0.2"/>
    <row r="10" spans="1:12" ht="24.95" customHeight="1" x14ac:dyDescent="0.2"/>
    <row r="11" spans="1:12" ht="24.95" customHeight="1" x14ac:dyDescent="0.2"/>
    <row r="12" spans="1:12" ht="24.95" customHeight="1" x14ac:dyDescent="0.2"/>
    <row r="13" spans="1:12" ht="24.95" customHeight="1" x14ac:dyDescent="0.2"/>
    <row r="14" spans="1:12" ht="24.95" customHeight="1" x14ac:dyDescent="0.2"/>
    <row r="15" spans="1:12" ht="24.95" customHeight="1" x14ac:dyDescent="0.2"/>
    <row r="16" spans="1:12" ht="24.95" customHeight="1" x14ac:dyDescent="0.2"/>
  </sheetData>
  <sheetProtection algorithmName="SHA-512" hashValue="gggu/z+X47IpVhhStILgQfBQn7kNg90HOc39rbT2tttH1/gL4tV6CcwV9FnF1oARVnXyibXBBFs0EFNTpyOuDw==" saltValue="++4L8WUTurxNENLSgr6q6Q==" spinCount="100000" sheet="1" objects="1" scenarios="1"/>
  <sortState xmlns:xlrd2="http://schemas.microsoft.com/office/spreadsheetml/2017/richdata2" ref="A1:J16">
    <sortCondition ref="A1"/>
  </sortState>
  <phoneticPr fontId="4" type="noConversion"/>
  <hyperlinks>
    <hyperlink ref="K1" location="PRICE!A1" display="1" xr:uid="{00000000-0004-0000-0A00-000000000000}"/>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L40"/>
  <sheetViews>
    <sheetView workbookViewId="0">
      <selection activeCell="K1" sqref="K1"/>
    </sheetView>
  </sheetViews>
  <sheetFormatPr defaultColWidth="9.140625" defaultRowHeight="12.75" x14ac:dyDescent="0.2"/>
  <cols>
    <col min="1" max="1" width="9.140625" style="1"/>
    <col min="2" max="2" width="32.42578125" style="1" customWidth="1"/>
    <col min="3" max="3" width="26.42578125" style="1" customWidth="1"/>
    <col min="4" max="16384" width="9.140625" style="1"/>
  </cols>
  <sheetData>
    <row r="1" spans="1:12" ht="24.95" customHeight="1" x14ac:dyDescent="0.2">
      <c r="A1" s="72" t="s">
        <v>968</v>
      </c>
      <c r="B1" s="73" t="s">
        <v>1065</v>
      </c>
      <c r="C1" s="73" t="s">
        <v>1070</v>
      </c>
      <c r="G1" s="37"/>
      <c r="K1" s="93">
        <v>1</v>
      </c>
      <c r="L1" s="37" t="s">
        <v>921</v>
      </c>
    </row>
    <row r="2" spans="1:12" ht="24.95" customHeight="1" x14ac:dyDescent="0.2">
      <c r="A2" s="72" t="s">
        <v>965</v>
      </c>
      <c r="B2" s="73" t="s">
        <v>1066</v>
      </c>
      <c r="C2" s="73" t="s">
        <v>1071</v>
      </c>
    </row>
    <row r="3" spans="1:12" ht="24.95" customHeight="1" x14ac:dyDescent="0.2">
      <c r="A3" s="72" t="s">
        <v>966</v>
      </c>
      <c r="B3" s="73" t="s">
        <v>967</v>
      </c>
      <c r="C3" s="73" t="s">
        <v>1003</v>
      </c>
      <c r="F3" s="46"/>
      <c r="G3" s="37"/>
    </row>
    <row r="4" spans="1:12" ht="24.95" customHeight="1" x14ac:dyDescent="0.2">
      <c r="A4" s="72" t="s">
        <v>964</v>
      </c>
      <c r="B4" s="73" t="s">
        <v>1067</v>
      </c>
      <c r="C4" s="73" t="s">
        <v>1072</v>
      </c>
      <c r="F4" s="45"/>
    </row>
    <row r="5" spans="1:12" ht="24.95" customHeight="1" x14ac:dyDescent="0.2">
      <c r="A5" s="72" t="s">
        <v>901</v>
      </c>
      <c r="B5" s="73" t="s">
        <v>1068</v>
      </c>
      <c r="C5" s="73" t="s">
        <v>1073</v>
      </c>
    </row>
    <row r="6" spans="1:12" ht="24.95" customHeight="1" x14ac:dyDescent="0.2">
      <c r="A6" s="72" t="s">
        <v>969</v>
      </c>
      <c r="B6" s="73" t="s">
        <v>1069</v>
      </c>
      <c r="C6" s="73" t="s">
        <v>1074</v>
      </c>
    </row>
    <row r="7" spans="1:12" ht="24.95" customHeight="1" x14ac:dyDescent="0.2"/>
    <row r="8" spans="1:12" ht="24.95" customHeight="1" x14ac:dyDescent="0.2"/>
    <row r="9" spans="1:12" ht="24.95" customHeight="1" x14ac:dyDescent="0.2"/>
    <row r="10" spans="1:12" ht="24.95" customHeight="1" x14ac:dyDescent="0.2"/>
    <row r="11" spans="1:12" ht="24.95" customHeight="1" x14ac:dyDescent="0.2"/>
    <row r="12" spans="1:12" ht="24.95" customHeight="1" x14ac:dyDescent="0.2"/>
    <row r="13" spans="1:12" ht="24.95" customHeight="1" x14ac:dyDescent="0.2"/>
    <row r="14" spans="1:12" ht="24.95" customHeight="1" x14ac:dyDescent="0.2"/>
    <row r="15" spans="1:12" ht="24.95" customHeight="1" x14ac:dyDescent="0.2"/>
    <row r="16" spans="1:12" ht="24.95" customHeight="1" x14ac:dyDescent="0.2"/>
    <row r="17" ht="24.95" customHeight="1" x14ac:dyDescent="0.2"/>
    <row r="18" ht="24.95" customHeight="1" x14ac:dyDescent="0.2"/>
    <row r="19" ht="24.95" customHeight="1" x14ac:dyDescent="0.2"/>
    <row r="20" ht="24.95" customHeight="1" x14ac:dyDescent="0.2"/>
    <row r="21" ht="24.95" customHeight="1" x14ac:dyDescent="0.2"/>
    <row r="22" ht="24.95" customHeight="1" x14ac:dyDescent="0.2"/>
    <row r="23" ht="24.95" customHeight="1" x14ac:dyDescent="0.2"/>
    <row r="24" ht="24.95" customHeight="1" x14ac:dyDescent="0.2"/>
    <row r="25" ht="24.95" customHeight="1" x14ac:dyDescent="0.2"/>
    <row r="26" ht="24.95" customHeight="1" x14ac:dyDescent="0.2"/>
    <row r="27" ht="24.95" customHeight="1" x14ac:dyDescent="0.2"/>
    <row r="28" ht="24.95" customHeight="1" x14ac:dyDescent="0.2"/>
    <row r="29" ht="24.95" customHeight="1" x14ac:dyDescent="0.2"/>
    <row r="30" ht="24.95" customHeight="1" x14ac:dyDescent="0.2"/>
    <row r="31" ht="24.95" customHeight="1" x14ac:dyDescent="0.2"/>
    <row r="32" ht="24.95" customHeight="1" x14ac:dyDescent="0.2"/>
    <row r="33" ht="24.95" customHeight="1" x14ac:dyDescent="0.2"/>
    <row r="34" ht="24.95" customHeight="1" x14ac:dyDescent="0.2"/>
    <row r="35" ht="24.95" customHeight="1" x14ac:dyDescent="0.2"/>
    <row r="36" ht="24.95" customHeight="1" x14ac:dyDescent="0.2"/>
    <row r="37" ht="24.95" customHeight="1" x14ac:dyDescent="0.2"/>
    <row r="38" ht="24.95" customHeight="1" x14ac:dyDescent="0.2"/>
    <row r="39" ht="24.95" customHeight="1" x14ac:dyDescent="0.2"/>
    <row r="40" ht="24.95" customHeight="1" x14ac:dyDescent="0.2"/>
  </sheetData>
  <sheetProtection algorithmName="SHA-512" hashValue="Q+fypVMvpPLJMyERQVrdjtuMdvLATFtnRR5MBpLOVx5mWCZYoDTc5hD1O3QFfBp5MHlXc4W0B4KnTo1fnEA+KA==" saltValue="2O5RpS+XNpznyRCsqAqqSg==" spinCount="100000" sheet="1" objects="1" scenarios="1"/>
  <sortState xmlns:xlrd2="http://schemas.microsoft.com/office/spreadsheetml/2017/richdata2" ref="A1:J40">
    <sortCondition ref="A1"/>
  </sortState>
  <phoneticPr fontId="4" type="noConversion"/>
  <hyperlinks>
    <hyperlink ref="K1" location="PRICE!A1" display="1" xr:uid="{00000000-0004-0000-0B00-000000000000}"/>
  </hyperlink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L25"/>
  <sheetViews>
    <sheetView workbookViewId="0">
      <selection activeCell="K1" sqref="K1"/>
    </sheetView>
  </sheetViews>
  <sheetFormatPr defaultColWidth="9.140625" defaultRowHeight="12.75" x14ac:dyDescent="0.2"/>
  <cols>
    <col min="1" max="1" width="9.140625" style="1"/>
    <col min="2" max="2" width="25.85546875" style="1" bestFit="1" customWidth="1"/>
    <col min="3" max="3" width="33" style="1" bestFit="1" customWidth="1"/>
    <col min="4" max="16384" width="9.140625" style="1"/>
  </cols>
  <sheetData>
    <row r="1" spans="1:12" ht="18" x14ac:dyDescent="0.2">
      <c r="A1" s="72" t="s">
        <v>946</v>
      </c>
      <c r="B1" s="73" t="s">
        <v>1161</v>
      </c>
      <c r="C1" s="73" t="s">
        <v>1162</v>
      </c>
      <c r="G1" s="8"/>
      <c r="K1" s="93">
        <v>1</v>
      </c>
      <c r="L1" s="37" t="s">
        <v>921</v>
      </c>
    </row>
    <row r="2" spans="1:12" x14ac:dyDescent="0.2">
      <c r="A2" s="72" t="s">
        <v>948</v>
      </c>
      <c r="B2" s="73" t="s">
        <v>1163</v>
      </c>
      <c r="C2" s="73" t="s">
        <v>1164</v>
      </c>
    </row>
    <row r="3" spans="1:12" x14ac:dyDescent="0.2">
      <c r="A3" s="72" t="s">
        <v>945</v>
      </c>
      <c r="B3" s="73" t="s">
        <v>1165</v>
      </c>
      <c r="C3" s="73" t="s">
        <v>1166</v>
      </c>
    </row>
    <row r="4" spans="1:12" x14ac:dyDescent="0.2">
      <c r="A4" s="72" t="s">
        <v>949</v>
      </c>
      <c r="B4" s="73" t="s">
        <v>1167</v>
      </c>
      <c r="C4" s="73" t="s">
        <v>1168</v>
      </c>
    </row>
    <row r="5" spans="1:12" x14ac:dyDescent="0.2">
      <c r="A5" s="72" t="s">
        <v>953</v>
      </c>
      <c r="B5" s="73" t="s">
        <v>1169</v>
      </c>
      <c r="C5" s="73" t="s">
        <v>1170</v>
      </c>
    </row>
    <row r="6" spans="1:12" x14ac:dyDescent="0.2">
      <c r="A6" s="72" t="s">
        <v>952</v>
      </c>
      <c r="B6" s="73" t="s">
        <v>1171</v>
      </c>
      <c r="C6" s="73" t="s">
        <v>1172</v>
      </c>
    </row>
    <row r="7" spans="1:12" x14ac:dyDescent="0.2">
      <c r="A7" s="72" t="s">
        <v>944</v>
      </c>
      <c r="B7" s="73" t="s">
        <v>1173</v>
      </c>
      <c r="C7" s="73" t="s">
        <v>1174</v>
      </c>
      <c r="E7" s="45"/>
      <c r="F7" s="37"/>
    </row>
    <row r="8" spans="1:12" x14ac:dyDescent="0.2">
      <c r="A8" s="72" t="s">
        <v>951</v>
      </c>
      <c r="B8" s="73" t="s">
        <v>1175</v>
      </c>
      <c r="C8" s="73" t="s">
        <v>1176</v>
      </c>
    </row>
    <row r="9" spans="1:12" ht="25.5" x14ac:dyDescent="0.2">
      <c r="A9" s="72" t="s">
        <v>950</v>
      </c>
      <c r="B9" s="73" t="s">
        <v>1177</v>
      </c>
      <c r="C9" s="73" t="s">
        <v>1178</v>
      </c>
    </row>
    <row r="10" spans="1:12" x14ac:dyDescent="0.2">
      <c r="A10" s="72" t="s">
        <v>955</v>
      </c>
      <c r="B10" s="73" t="s">
        <v>1179</v>
      </c>
      <c r="C10" s="73" t="s">
        <v>1180</v>
      </c>
    </row>
    <row r="11" spans="1:12" x14ac:dyDescent="0.2">
      <c r="A11" s="72" t="s">
        <v>835</v>
      </c>
      <c r="B11" s="75" t="s">
        <v>1181</v>
      </c>
      <c r="C11" s="73" t="s">
        <v>1182</v>
      </c>
    </row>
    <row r="12" spans="1:12" x14ac:dyDescent="0.2">
      <c r="A12" s="72" t="s">
        <v>947</v>
      </c>
      <c r="B12" s="73" t="s">
        <v>1183</v>
      </c>
      <c r="C12" s="73" t="s">
        <v>1184</v>
      </c>
    </row>
    <row r="13" spans="1:12" x14ac:dyDescent="0.2">
      <c r="A13" s="72" t="s">
        <v>954</v>
      </c>
      <c r="B13" s="75" t="s">
        <v>1185</v>
      </c>
      <c r="C13" s="73" t="s">
        <v>1186</v>
      </c>
    </row>
    <row r="14" spans="1:12" x14ac:dyDescent="0.2">
      <c r="A14" s="72" t="s">
        <v>876</v>
      </c>
      <c r="B14" s="73" t="s">
        <v>1187</v>
      </c>
      <c r="C14" s="73" t="s">
        <v>1188</v>
      </c>
    </row>
    <row r="15" spans="1:12" x14ac:dyDescent="0.2">
      <c r="A15" s="72" t="s">
        <v>956</v>
      </c>
      <c r="B15" s="73" t="s">
        <v>1189</v>
      </c>
      <c r="C15" s="73" t="s">
        <v>1190</v>
      </c>
    </row>
    <row r="16" spans="1:12" x14ac:dyDescent="0.2">
      <c r="A16" s="101"/>
      <c r="B16" s="74"/>
      <c r="C16" s="74"/>
    </row>
    <row r="17" spans="1:3" x14ac:dyDescent="0.2">
      <c r="A17" s="70"/>
      <c r="B17" s="70"/>
      <c r="C17" s="70"/>
    </row>
    <row r="18" spans="1:3" x14ac:dyDescent="0.2">
      <c r="A18" s="70"/>
      <c r="B18" s="70"/>
      <c r="C18" s="70"/>
    </row>
    <row r="19" spans="1:3" x14ac:dyDescent="0.2">
      <c r="A19" s="70"/>
      <c r="B19" s="70"/>
      <c r="C19" s="70"/>
    </row>
    <row r="20" spans="1:3" x14ac:dyDescent="0.2">
      <c r="A20" s="70"/>
      <c r="B20" s="70"/>
      <c r="C20" s="70"/>
    </row>
    <row r="21" spans="1:3" x14ac:dyDescent="0.2">
      <c r="A21" s="70"/>
      <c r="B21" s="70"/>
      <c r="C21" s="70"/>
    </row>
    <row r="22" spans="1:3" x14ac:dyDescent="0.2">
      <c r="A22" s="70"/>
      <c r="B22" s="70"/>
      <c r="C22" s="70"/>
    </row>
    <row r="23" spans="1:3" x14ac:dyDescent="0.2">
      <c r="A23" s="70"/>
      <c r="B23" s="70"/>
      <c r="C23" s="70"/>
    </row>
    <row r="24" spans="1:3" x14ac:dyDescent="0.2">
      <c r="A24" s="70"/>
      <c r="B24" s="70"/>
      <c r="C24" s="70"/>
    </row>
    <row r="25" spans="1:3" x14ac:dyDescent="0.2">
      <c r="A25" s="70"/>
      <c r="B25" s="70"/>
      <c r="C25" s="70"/>
    </row>
  </sheetData>
  <sheetProtection algorithmName="SHA-512" hashValue="DwILSXMQ7pof9NJsqKf5H9f9j5y37FaUIzk5Hp8+sis4EJMyAffFpZCi1ELZYu2kYP4/I7rAejT7/vG4+R0Y1Q==" saltValue="4ka0Dkw9tiepuRY2FBPh5w==" spinCount="100000" sheet="1" objects="1" scenarios="1"/>
  <sortState xmlns:xlrd2="http://schemas.microsoft.com/office/spreadsheetml/2017/richdata2" ref="A1:J25">
    <sortCondition ref="A1"/>
  </sortState>
  <phoneticPr fontId="4" type="noConversion"/>
  <hyperlinks>
    <hyperlink ref="K1" location="PRICE!A1" display="1" xr:uid="{00000000-0004-0000-0C00-000000000000}"/>
  </hyperlink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L77"/>
  <sheetViews>
    <sheetView workbookViewId="0">
      <selection activeCell="K1" sqref="K1"/>
    </sheetView>
  </sheetViews>
  <sheetFormatPr defaultColWidth="9.140625" defaultRowHeight="12.75" x14ac:dyDescent="0.2"/>
  <cols>
    <col min="1" max="1" width="8.5703125" style="1" bestFit="1" customWidth="1"/>
    <col min="2" max="2" width="32.7109375" style="1" bestFit="1" customWidth="1"/>
    <col min="3" max="3" width="31.28515625" style="1" bestFit="1" customWidth="1"/>
    <col min="4" max="16384" width="9.140625" style="1"/>
  </cols>
  <sheetData>
    <row r="1" spans="1:12" ht="18" x14ac:dyDescent="0.2">
      <c r="A1" s="1" t="s">
        <v>843</v>
      </c>
      <c r="B1" s="1" t="s">
        <v>1398</v>
      </c>
      <c r="C1" s="1" t="s">
        <v>1399</v>
      </c>
      <c r="G1" s="37"/>
      <c r="K1" s="93">
        <v>1</v>
      </c>
      <c r="L1" s="37" t="s">
        <v>921</v>
      </c>
    </row>
    <row r="2" spans="1:12" x14ac:dyDescent="0.2">
      <c r="A2" s="1" t="s">
        <v>1400</v>
      </c>
      <c r="B2" s="1" t="s">
        <v>1401</v>
      </c>
      <c r="C2" s="1" t="s">
        <v>1402</v>
      </c>
      <c r="F2" s="47"/>
      <c r="G2" s="47"/>
      <c r="H2" s="47"/>
    </row>
    <row r="3" spans="1:12" x14ac:dyDescent="0.2">
      <c r="A3" s="1" t="s">
        <v>322</v>
      </c>
      <c r="B3" s="1" t="s">
        <v>1095</v>
      </c>
      <c r="C3" s="1" t="s">
        <v>1096</v>
      </c>
      <c r="F3" s="47"/>
      <c r="G3" s="47"/>
      <c r="H3" s="47"/>
    </row>
    <row r="4" spans="1:12" x14ac:dyDescent="0.2">
      <c r="A4" s="1" t="s">
        <v>15</v>
      </c>
      <c r="B4" s="1" t="s">
        <v>1097</v>
      </c>
      <c r="C4" s="1" t="s">
        <v>1098</v>
      </c>
      <c r="F4" s="47"/>
      <c r="G4" s="47"/>
      <c r="H4" s="47"/>
    </row>
    <row r="5" spans="1:12" x14ac:dyDescent="0.2">
      <c r="A5" s="1" t="s">
        <v>30</v>
      </c>
      <c r="B5" s="1" t="s">
        <v>1099</v>
      </c>
      <c r="C5" s="1" t="s">
        <v>1099</v>
      </c>
      <c r="F5" s="47"/>
      <c r="G5" s="47"/>
      <c r="H5" s="47"/>
    </row>
    <row r="6" spans="1:12" x14ac:dyDescent="0.2">
      <c r="A6" s="1" t="s">
        <v>1403</v>
      </c>
      <c r="B6" s="1" t="s">
        <v>1404</v>
      </c>
      <c r="C6" s="1" t="s">
        <v>1405</v>
      </c>
    </row>
    <row r="7" spans="1:12" x14ac:dyDescent="0.2">
      <c r="A7" s="1" t="s">
        <v>23</v>
      </c>
      <c r="B7" s="1" t="s">
        <v>1100</v>
      </c>
      <c r="C7" s="1" t="s">
        <v>1101</v>
      </c>
    </row>
    <row r="8" spans="1:12" x14ac:dyDescent="0.2">
      <c r="A8" s="1" t="s">
        <v>36</v>
      </c>
      <c r="B8" s="1" t="s">
        <v>1102</v>
      </c>
      <c r="C8" s="1" t="s">
        <v>1102</v>
      </c>
    </row>
    <row r="9" spans="1:12" x14ac:dyDescent="0.2">
      <c r="A9" s="1" t="s">
        <v>1406</v>
      </c>
      <c r="B9" s="1" t="s">
        <v>1407</v>
      </c>
      <c r="C9" s="1" t="s">
        <v>1408</v>
      </c>
    </row>
    <row r="10" spans="1:12" x14ac:dyDescent="0.2">
      <c r="A10" s="1" t="s">
        <v>41</v>
      </c>
      <c r="B10" s="1" t="s">
        <v>1103</v>
      </c>
      <c r="C10" s="1" t="s">
        <v>1104</v>
      </c>
    </row>
    <row r="11" spans="1:12" x14ac:dyDescent="0.2">
      <c r="A11" s="1" t="s">
        <v>1409</v>
      </c>
      <c r="B11" s="1" t="s">
        <v>1410</v>
      </c>
      <c r="C11" s="1" t="s">
        <v>1410</v>
      </c>
    </row>
    <row r="12" spans="1:12" x14ac:dyDescent="0.2">
      <c r="A12" s="1" t="s">
        <v>55</v>
      </c>
      <c r="B12" s="1" t="s">
        <v>1105</v>
      </c>
      <c r="C12" s="1" t="s">
        <v>1106</v>
      </c>
    </row>
    <row r="13" spans="1:12" x14ac:dyDescent="0.2">
      <c r="A13" s="1" t="s">
        <v>1411</v>
      </c>
      <c r="B13" s="1" t="s">
        <v>1412</v>
      </c>
      <c r="C13" s="1" t="s">
        <v>1413</v>
      </c>
    </row>
    <row r="14" spans="1:12" x14ac:dyDescent="0.2">
      <c r="A14" s="1" t="s">
        <v>1414</v>
      </c>
      <c r="B14" s="1" t="s">
        <v>1415</v>
      </c>
      <c r="C14" s="1" t="s">
        <v>1416</v>
      </c>
    </row>
    <row r="15" spans="1:12" x14ac:dyDescent="0.2">
      <c r="A15" s="1" t="s">
        <v>62</v>
      </c>
      <c r="B15" s="1" t="s">
        <v>1107</v>
      </c>
      <c r="C15" s="1" t="s">
        <v>1107</v>
      </c>
    </row>
    <row r="16" spans="1:12" x14ac:dyDescent="0.2">
      <c r="A16" s="1" t="s">
        <v>68</v>
      </c>
      <c r="B16" s="1" t="s">
        <v>1108</v>
      </c>
      <c r="C16" s="1" t="s">
        <v>1109</v>
      </c>
    </row>
    <row r="17" spans="1:3" x14ac:dyDescent="0.2">
      <c r="A17" s="1" t="s">
        <v>75</v>
      </c>
      <c r="B17" s="1" t="s">
        <v>1110</v>
      </c>
      <c r="C17" s="1" t="s">
        <v>1111</v>
      </c>
    </row>
    <row r="18" spans="1:3" x14ac:dyDescent="0.2">
      <c r="A18" s="1" t="s">
        <v>1051</v>
      </c>
      <c r="B18" s="1" t="s">
        <v>1417</v>
      </c>
      <c r="C18" s="1" t="s">
        <v>1418</v>
      </c>
    </row>
    <row r="19" spans="1:3" x14ac:dyDescent="0.2">
      <c r="A19" s="1" t="s">
        <v>1052</v>
      </c>
      <c r="B19" s="1" t="s">
        <v>1419</v>
      </c>
      <c r="C19" s="1" t="s">
        <v>1419</v>
      </c>
    </row>
    <row r="20" spans="1:3" x14ac:dyDescent="0.2">
      <c r="A20" s="1" t="s">
        <v>89</v>
      </c>
      <c r="B20" s="1" t="s">
        <v>1112</v>
      </c>
      <c r="C20" s="1" t="s">
        <v>1113</v>
      </c>
    </row>
    <row r="21" spans="1:3" x14ac:dyDescent="0.2">
      <c r="A21" s="1" t="s">
        <v>1053</v>
      </c>
      <c r="B21" s="1" t="s">
        <v>1420</v>
      </c>
      <c r="C21" s="1" t="s">
        <v>1421</v>
      </c>
    </row>
    <row r="22" spans="1:3" x14ac:dyDescent="0.2">
      <c r="A22" s="1" t="s">
        <v>329</v>
      </c>
      <c r="B22" s="1" t="s">
        <v>1114</v>
      </c>
      <c r="C22" s="1" t="s">
        <v>1422</v>
      </c>
    </row>
    <row r="23" spans="1:3" x14ac:dyDescent="0.2">
      <c r="A23" s="1" t="s">
        <v>1423</v>
      </c>
      <c r="B23" s="1" t="s">
        <v>1424</v>
      </c>
      <c r="C23" s="1" t="s">
        <v>1425</v>
      </c>
    </row>
    <row r="24" spans="1:3" x14ac:dyDescent="0.2">
      <c r="A24" s="1" t="s">
        <v>96</v>
      </c>
      <c r="B24" s="1" t="s">
        <v>1115</v>
      </c>
      <c r="C24" s="1" t="s">
        <v>1116</v>
      </c>
    </row>
    <row r="25" spans="1:3" x14ac:dyDescent="0.2">
      <c r="A25" s="1" t="s">
        <v>1426</v>
      </c>
      <c r="B25" s="1" t="s">
        <v>1427</v>
      </c>
      <c r="C25" s="1" t="s">
        <v>1428</v>
      </c>
    </row>
    <row r="26" spans="1:3" x14ac:dyDescent="0.2">
      <c r="A26" s="1" t="s">
        <v>1429</v>
      </c>
      <c r="B26" s="1" t="s">
        <v>1430</v>
      </c>
      <c r="C26" s="1" t="s">
        <v>1431</v>
      </c>
    </row>
    <row r="27" spans="1:3" x14ac:dyDescent="0.2">
      <c r="A27" s="1" t="s">
        <v>1432</v>
      </c>
      <c r="B27" s="1" t="s">
        <v>1433</v>
      </c>
      <c r="C27" s="1" t="s">
        <v>1433</v>
      </c>
    </row>
    <row r="28" spans="1:3" x14ac:dyDescent="0.2">
      <c r="A28" s="1" t="s">
        <v>110</v>
      </c>
      <c r="B28" s="1" t="s">
        <v>1117</v>
      </c>
      <c r="C28" s="1" t="s">
        <v>1118</v>
      </c>
    </row>
    <row r="29" spans="1:3" x14ac:dyDescent="0.2">
      <c r="A29" s="1" t="s">
        <v>103</v>
      </c>
      <c r="B29" s="1" t="s">
        <v>1119</v>
      </c>
      <c r="C29" s="1" t="s">
        <v>1120</v>
      </c>
    </row>
    <row r="30" spans="1:3" x14ac:dyDescent="0.2">
      <c r="A30" s="1" t="s">
        <v>116</v>
      </c>
      <c r="B30" s="1" t="s">
        <v>1434</v>
      </c>
      <c r="C30" s="1" t="s">
        <v>1435</v>
      </c>
    </row>
    <row r="31" spans="1:3" x14ac:dyDescent="0.2">
      <c r="A31" s="1" t="s">
        <v>1436</v>
      </c>
      <c r="B31" s="1" t="s">
        <v>1437</v>
      </c>
      <c r="C31" s="1" t="s">
        <v>1438</v>
      </c>
    </row>
    <row r="32" spans="1:3" x14ac:dyDescent="0.2">
      <c r="A32" s="1" t="s">
        <v>130</v>
      </c>
      <c r="B32" s="1" t="s">
        <v>1121</v>
      </c>
      <c r="C32" s="1" t="s">
        <v>1122</v>
      </c>
    </row>
    <row r="33" spans="1:3" x14ac:dyDescent="0.2">
      <c r="A33" s="1" t="s">
        <v>1054</v>
      </c>
      <c r="B33" s="1" t="s">
        <v>1439</v>
      </c>
      <c r="C33" s="1" t="s">
        <v>1440</v>
      </c>
    </row>
    <row r="34" spans="1:3" x14ac:dyDescent="0.2">
      <c r="A34" s="1" t="s">
        <v>144</v>
      </c>
      <c r="B34" s="1" t="s">
        <v>1123</v>
      </c>
      <c r="C34" s="1" t="s">
        <v>1124</v>
      </c>
    </row>
    <row r="35" spans="1:3" x14ac:dyDescent="0.2">
      <c r="A35" s="1" t="s">
        <v>137</v>
      </c>
      <c r="B35" s="1" t="s">
        <v>1125</v>
      </c>
      <c r="C35" s="1" t="s">
        <v>1126</v>
      </c>
    </row>
    <row r="36" spans="1:3" x14ac:dyDescent="0.2">
      <c r="A36" s="1" t="s">
        <v>151</v>
      </c>
      <c r="B36" s="1" t="s">
        <v>1127</v>
      </c>
      <c r="C36" s="1" t="s">
        <v>1127</v>
      </c>
    </row>
    <row r="37" spans="1:3" x14ac:dyDescent="0.2">
      <c r="A37" s="1" t="s">
        <v>1441</v>
      </c>
      <c r="B37" s="1" t="s">
        <v>1442</v>
      </c>
      <c r="C37" s="1" t="s">
        <v>1443</v>
      </c>
    </row>
    <row r="38" spans="1:3" x14ac:dyDescent="0.2">
      <c r="A38" s="1" t="s">
        <v>266</v>
      </c>
      <c r="B38" s="1" t="s">
        <v>1444</v>
      </c>
      <c r="C38" s="1" t="s">
        <v>1445</v>
      </c>
    </row>
    <row r="39" spans="1:3" x14ac:dyDescent="0.2">
      <c r="A39" s="1" t="s">
        <v>157</v>
      </c>
      <c r="B39" s="1" t="s">
        <v>1128</v>
      </c>
      <c r="C39" s="1" t="s">
        <v>1129</v>
      </c>
    </row>
    <row r="40" spans="1:3" x14ac:dyDescent="0.2">
      <c r="A40" s="1" t="s">
        <v>1446</v>
      </c>
      <c r="B40" s="1" t="s">
        <v>1447</v>
      </c>
      <c r="C40" s="1" t="s">
        <v>1448</v>
      </c>
    </row>
    <row r="41" spans="1:3" x14ac:dyDescent="0.2">
      <c r="A41" s="1" t="s">
        <v>289</v>
      </c>
      <c r="B41" s="1" t="s">
        <v>1130</v>
      </c>
      <c r="C41" s="1" t="s">
        <v>1130</v>
      </c>
    </row>
    <row r="42" spans="1:3" x14ac:dyDescent="0.2">
      <c r="A42" s="1" t="s">
        <v>164</v>
      </c>
      <c r="B42" s="1" t="s">
        <v>1131</v>
      </c>
      <c r="C42" s="1" t="s">
        <v>1131</v>
      </c>
    </row>
    <row r="43" spans="1:3" x14ac:dyDescent="0.2">
      <c r="A43" s="1" t="s">
        <v>177</v>
      </c>
      <c r="B43" s="1" t="s">
        <v>1132</v>
      </c>
      <c r="C43" s="1" t="s">
        <v>1132</v>
      </c>
    </row>
    <row r="44" spans="1:3" x14ac:dyDescent="0.2">
      <c r="A44" s="1" t="s">
        <v>1449</v>
      </c>
      <c r="B44" s="1" t="s">
        <v>1450</v>
      </c>
      <c r="C44" s="1" t="s">
        <v>1451</v>
      </c>
    </row>
    <row r="45" spans="1:3" x14ac:dyDescent="0.2">
      <c r="A45" s="1" t="s">
        <v>1483</v>
      </c>
      <c r="B45" s="1" t="s">
        <v>1484</v>
      </c>
      <c r="C45" s="1" t="s">
        <v>1484</v>
      </c>
    </row>
    <row r="46" spans="1:3" x14ac:dyDescent="0.2">
      <c r="A46" s="1" t="s">
        <v>1452</v>
      </c>
      <c r="B46" s="1" t="s">
        <v>1453</v>
      </c>
      <c r="C46" s="1" t="s">
        <v>1454</v>
      </c>
    </row>
    <row r="47" spans="1:3" x14ac:dyDescent="0.2">
      <c r="A47" s="1" t="s">
        <v>190</v>
      </c>
      <c r="B47" s="1" t="s">
        <v>1133</v>
      </c>
      <c r="C47" s="1" t="s">
        <v>1133</v>
      </c>
    </row>
    <row r="48" spans="1:3" x14ac:dyDescent="0.2">
      <c r="A48" s="1" t="s">
        <v>183</v>
      </c>
      <c r="B48" s="1" t="s">
        <v>1134</v>
      </c>
      <c r="C48" s="1" t="s">
        <v>1135</v>
      </c>
    </row>
    <row r="49" spans="1:6" x14ac:dyDescent="0.2">
      <c r="A49" s="1" t="s">
        <v>170</v>
      </c>
      <c r="B49" s="1" t="s">
        <v>1136</v>
      </c>
      <c r="C49" s="1" t="s">
        <v>1137</v>
      </c>
    </row>
    <row r="50" spans="1:6" x14ac:dyDescent="0.2">
      <c r="A50" s="1" t="s">
        <v>2102</v>
      </c>
      <c r="B50" s="1" t="s">
        <v>2103</v>
      </c>
      <c r="C50" s="1" t="s">
        <v>2103</v>
      </c>
      <c r="F50" s="45"/>
    </row>
    <row r="51" spans="1:6" x14ac:dyDescent="0.2">
      <c r="A51" s="1" t="s">
        <v>1455</v>
      </c>
      <c r="B51" s="1" t="s">
        <v>1456</v>
      </c>
      <c r="C51" s="1" t="s">
        <v>1457</v>
      </c>
    </row>
    <row r="52" spans="1:6" x14ac:dyDescent="0.2">
      <c r="A52" s="1" t="s">
        <v>1458</v>
      </c>
      <c r="B52" s="1" t="s">
        <v>1459</v>
      </c>
      <c r="C52" s="1" t="s">
        <v>1460</v>
      </c>
    </row>
    <row r="53" spans="1:6" x14ac:dyDescent="0.2">
      <c r="A53" s="1" t="s">
        <v>202</v>
      </c>
      <c r="B53" s="1" t="s">
        <v>1138</v>
      </c>
      <c r="C53" s="1" t="s">
        <v>1138</v>
      </c>
    </row>
    <row r="54" spans="1:6" x14ac:dyDescent="0.2">
      <c r="A54" s="1" t="s">
        <v>208</v>
      </c>
      <c r="B54" s="1" t="s">
        <v>1139</v>
      </c>
      <c r="C54" s="1" t="s">
        <v>1139</v>
      </c>
    </row>
    <row r="55" spans="1:6" x14ac:dyDescent="0.2">
      <c r="A55" s="1" t="s">
        <v>1461</v>
      </c>
      <c r="B55" s="1" t="s">
        <v>1462</v>
      </c>
      <c r="C55" s="1" t="s">
        <v>1462</v>
      </c>
    </row>
    <row r="56" spans="1:6" x14ac:dyDescent="0.2">
      <c r="A56" s="1" t="s">
        <v>214</v>
      </c>
      <c r="B56" s="1" t="s">
        <v>1140</v>
      </c>
      <c r="C56" s="1" t="s">
        <v>1140</v>
      </c>
    </row>
    <row r="57" spans="1:6" x14ac:dyDescent="0.2">
      <c r="A57" s="1" t="s">
        <v>1463</v>
      </c>
      <c r="B57" s="1" t="s">
        <v>1464</v>
      </c>
      <c r="C57" s="1" t="s">
        <v>1465</v>
      </c>
    </row>
    <row r="58" spans="1:6" x14ac:dyDescent="0.2">
      <c r="A58" s="1" t="s">
        <v>1055</v>
      </c>
      <c r="B58" s="1" t="s">
        <v>1466</v>
      </c>
      <c r="C58" s="1" t="s">
        <v>1466</v>
      </c>
    </row>
    <row r="59" spans="1:6" x14ac:dyDescent="0.2">
      <c r="A59" s="1" t="s">
        <v>220</v>
      </c>
      <c r="B59" s="1" t="s">
        <v>1141</v>
      </c>
      <c r="C59" s="1" t="s">
        <v>1141</v>
      </c>
    </row>
    <row r="60" spans="1:6" x14ac:dyDescent="0.2">
      <c r="A60" s="1" t="s">
        <v>1467</v>
      </c>
      <c r="B60" s="1" t="s">
        <v>1468</v>
      </c>
      <c r="C60" s="1" t="s">
        <v>1469</v>
      </c>
    </row>
    <row r="61" spans="1:6" x14ac:dyDescent="0.2">
      <c r="A61" s="1" t="s">
        <v>226</v>
      </c>
      <c r="B61" s="1" t="s">
        <v>1142</v>
      </c>
      <c r="C61" s="1" t="s">
        <v>1143</v>
      </c>
    </row>
    <row r="62" spans="1:6" x14ac:dyDescent="0.2">
      <c r="A62" s="1" t="s">
        <v>295</v>
      </c>
      <c r="B62" s="1" t="s">
        <v>1144</v>
      </c>
      <c r="C62" s="1" t="s">
        <v>1145</v>
      </c>
    </row>
    <row r="63" spans="1:6" x14ac:dyDescent="0.2">
      <c r="A63" s="1" t="s">
        <v>233</v>
      </c>
      <c r="B63" s="1" t="s">
        <v>1146</v>
      </c>
      <c r="C63" s="1" t="s">
        <v>1147</v>
      </c>
    </row>
    <row r="64" spans="1:6" x14ac:dyDescent="0.2">
      <c r="A64" s="1" t="s">
        <v>252</v>
      </c>
      <c r="B64" s="1" t="s">
        <v>1148</v>
      </c>
      <c r="C64" s="1" t="s">
        <v>1149</v>
      </c>
    </row>
    <row r="65" spans="1:3" x14ac:dyDescent="0.2">
      <c r="A65" s="1" t="s">
        <v>1470</v>
      </c>
      <c r="B65" s="1" t="s">
        <v>1471</v>
      </c>
      <c r="C65" s="1" t="s">
        <v>1472</v>
      </c>
    </row>
    <row r="66" spans="1:3" x14ac:dyDescent="0.2">
      <c r="A66" s="1" t="s">
        <v>240</v>
      </c>
      <c r="B66" s="1" t="s">
        <v>1150</v>
      </c>
      <c r="C66" s="1" t="s">
        <v>1150</v>
      </c>
    </row>
    <row r="67" spans="1:3" x14ac:dyDescent="0.2">
      <c r="A67" s="1" t="s">
        <v>1473</v>
      </c>
      <c r="B67" s="1" t="s">
        <v>1474</v>
      </c>
      <c r="C67" s="1" t="s">
        <v>1474</v>
      </c>
    </row>
    <row r="68" spans="1:3" x14ac:dyDescent="0.2">
      <c r="A68" s="1" t="s">
        <v>309</v>
      </c>
      <c r="B68" s="1" t="s">
        <v>1151</v>
      </c>
      <c r="C68" s="1" t="s">
        <v>1152</v>
      </c>
    </row>
    <row r="69" spans="1:3" x14ac:dyDescent="0.2">
      <c r="A69" s="1" t="s">
        <v>316</v>
      </c>
      <c r="B69" s="1" t="s">
        <v>1153</v>
      </c>
      <c r="C69" s="1" t="s">
        <v>1153</v>
      </c>
    </row>
    <row r="70" spans="1:3" x14ac:dyDescent="0.2">
      <c r="A70" s="1" t="s">
        <v>48</v>
      </c>
      <c r="B70" s="1" t="s">
        <v>1154</v>
      </c>
      <c r="C70" s="1" t="s">
        <v>1155</v>
      </c>
    </row>
    <row r="71" spans="1:3" x14ac:dyDescent="0.2">
      <c r="A71" s="1" t="s">
        <v>302</v>
      </c>
      <c r="B71" s="1" t="s">
        <v>1475</v>
      </c>
      <c r="C71" s="1" t="s">
        <v>1476</v>
      </c>
    </row>
    <row r="72" spans="1:3" x14ac:dyDescent="0.2">
      <c r="A72" s="1" t="s">
        <v>1477</v>
      </c>
      <c r="B72" s="1" t="s">
        <v>1478</v>
      </c>
      <c r="C72" s="1" t="s">
        <v>1478</v>
      </c>
    </row>
    <row r="73" spans="1:3" x14ac:dyDescent="0.2">
      <c r="A73" s="1" t="s">
        <v>336</v>
      </c>
      <c r="B73" s="1" t="s">
        <v>1156</v>
      </c>
      <c r="C73" s="1" t="s">
        <v>1156</v>
      </c>
    </row>
    <row r="74" spans="1:3" x14ac:dyDescent="0.2">
      <c r="A74" s="1" t="s">
        <v>1479</v>
      </c>
      <c r="B74" s="1" t="s">
        <v>1480</v>
      </c>
      <c r="C74" s="1" t="s">
        <v>1481</v>
      </c>
    </row>
    <row r="75" spans="1:3" x14ac:dyDescent="0.2">
      <c r="A75" s="1" t="s">
        <v>342</v>
      </c>
      <c r="B75" s="1" t="s">
        <v>1157</v>
      </c>
      <c r="C75" s="1" t="s">
        <v>1157</v>
      </c>
    </row>
    <row r="76" spans="1:3" x14ac:dyDescent="0.2">
      <c r="A76" s="1" t="s">
        <v>348</v>
      </c>
      <c r="B76" s="1" t="s">
        <v>1158</v>
      </c>
      <c r="C76" s="1" t="s">
        <v>1159</v>
      </c>
    </row>
    <row r="77" spans="1:3" x14ac:dyDescent="0.2">
      <c r="A77" s="1" t="s">
        <v>259</v>
      </c>
      <c r="B77" s="1" t="s">
        <v>1160</v>
      </c>
      <c r="C77" s="1" t="s">
        <v>1482</v>
      </c>
    </row>
  </sheetData>
  <sheetProtection autoFilter="0"/>
  <phoneticPr fontId="4" type="noConversion"/>
  <hyperlinks>
    <hyperlink ref="K1" location="PRICE!A1" display="1" xr:uid="{00000000-0004-0000-0D00-000000000000}"/>
  </hyperlinks>
  <pageMargins left="0.75" right="0.75" top="1" bottom="1" header="0.5" footer="0.5"/>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C11"/>
  <sheetViews>
    <sheetView workbookViewId="0">
      <selection activeCell="C32" sqref="C32"/>
    </sheetView>
  </sheetViews>
  <sheetFormatPr defaultRowHeight="12.75" x14ac:dyDescent="0.2"/>
  <sheetData>
    <row r="1" spans="1:3" x14ac:dyDescent="0.2">
      <c r="A1" t="s">
        <v>914</v>
      </c>
    </row>
    <row r="2" spans="1:3" ht="15.75" x14ac:dyDescent="0.25">
      <c r="A2" t="s">
        <v>902</v>
      </c>
      <c r="B2" t="s">
        <v>841</v>
      </c>
      <c r="C2" s="5" t="s">
        <v>279</v>
      </c>
    </row>
    <row r="3" spans="1:3" x14ac:dyDescent="0.2">
      <c r="A3" t="s">
        <v>903</v>
      </c>
      <c r="B3" t="s">
        <v>842</v>
      </c>
      <c r="C3" t="s">
        <v>277</v>
      </c>
    </row>
    <row r="4" spans="1:3" x14ac:dyDescent="0.2">
      <c r="A4" t="s">
        <v>904</v>
      </c>
      <c r="B4" t="s">
        <v>844</v>
      </c>
      <c r="C4" t="s">
        <v>278</v>
      </c>
    </row>
    <row r="5" spans="1:3" x14ac:dyDescent="0.2">
      <c r="A5" t="s">
        <v>905</v>
      </c>
      <c r="B5" t="s">
        <v>895</v>
      </c>
      <c r="C5" t="s">
        <v>280</v>
      </c>
    </row>
    <row r="6" spans="1:3" x14ac:dyDescent="0.2">
      <c r="A6" t="s">
        <v>906</v>
      </c>
      <c r="B6" t="s">
        <v>845</v>
      </c>
      <c r="C6" t="s">
        <v>913</v>
      </c>
    </row>
    <row r="7" spans="1:3" x14ac:dyDescent="0.2">
      <c r="A7" t="s">
        <v>907</v>
      </c>
      <c r="B7" t="s">
        <v>894</v>
      </c>
      <c r="C7" t="s">
        <v>275</v>
      </c>
    </row>
    <row r="8" spans="1:3" x14ac:dyDescent="0.2">
      <c r="A8" t="s">
        <v>908</v>
      </c>
      <c r="B8" t="s">
        <v>846</v>
      </c>
      <c r="C8" t="s">
        <v>281</v>
      </c>
    </row>
    <row r="9" spans="1:3" x14ac:dyDescent="0.2">
      <c r="A9" t="s">
        <v>909</v>
      </c>
      <c r="B9" t="s">
        <v>847</v>
      </c>
      <c r="C9" t="s">
        <v>847</v>
      </c>
    </row>
    <row r="10" spans="1:3" x14ac:dyDescent="0.2">
      <c r="A10" t="s">
        <v>910</v>
      </c>
      <c r="B10" t="s">
        <v>5</v>
      </c>
      <c r="C10" t="s">
        <v>912</v>
      </c>
    </row>
    <row r="11" spans="1:3" x14ac:dyDescent="0.2">
      <c r="A11" t="s">
        <v>911</v>
      </c>
      <c r="B11" t="s">
        <v>898</v>
      </c>
      <c r="C11" t="s">
        <v>283</v>
      </c>
    </row>
  </sheetData>
  <sheetProtection password="CC55" sheet="1" objects="1" scenarios="1"/>
  <phoneticPr fontId="4" type="noConversion"/>
  <pageMargins left="0.75" right="0.75" top="1" bottom="1" header="0.5" footer="0.5"/>
  <pageSetup paperSize="9" orientation="portrait" horizontalDpi="1200" verticalDpi="12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K166"/>
  <sheetViews>
    <sheetView topLeftCell="C1" workbookViewId="0">
      <selection activeCell="C21" sqref="C21"/>
    </sheetView>
  </sheetViews>
  <sheetFormatPr defaultColWidth="9.140625" defaultRowHeight="12.75" x14ac:dyDescent="0.2"/>
  <cols>
    <col min="1" max="1" width="9.140625" style="1"/>
    <col min="2" max="2" width="5.42578125" style="1" bestFit="1" customWidth="1"/>
    <col min="3" max="3" width="229.5703125" style="1" bestFit="1" customWidth="1"/>
    <col min="4" max="4" width="12.85546875" style="1" customWidth="1"/>
    <col min="5" max="5" width="11" style="1" customWidth="1"/>
    <col min="6" max="10" width="9.140625" style="1"/>
    <col min="11" max="11" width="18.5703125" style="1" customWidth="1"/>
    <col min="12" max="18" width="9.140625" style="1"/>
    <col min="19" max="19" width="17.85546875" style="1" customWidth="1"/>
    <col min="20" max="16384" width="9.140625" style="1"/>
  </cols>
  <sheetData>
    <row r="1" spans="1:11" ht="25.5" customHeight="1" x14ac:dyDescent="0.25">
      <c r="A1" s="3"/>
      <c r="B1" s="11" t="s">
        <v>10</v>
      </c>
      <c r="C1" s="12" t="s">
        <v>11</v>
      </c>
      <c r="D1" s="12" t="s">
        <v>12</v>
      </c>
      <c r="E1" s="3"/>
      <c r="H1" s="8" t="s">
        <v>915</v>
      </c>
      <c r="I1" s="13" t="s">
        <v>11</v>
      </c>
      <c r="J1" s="13" t="s">
        <v>12</v>
      </c>
      <c r="K1" s="14" t="s">
        <v>13</v>
      </c>
    </row>
    <row r="2" spans="1:11" x14ac:dyDescent="0.2">
      <c r="A2" s="3" t="s">
        <v>14</v>
      </c>
      <c r="B2" s="15" t="s">
        <v>15</v>
      </c>
      <c r="C2" s="15" t="s">
        <v>16</v>
      </c>
      <c r="D2" s="15" t="s">
        <v>17</v>
      </c>
      <c r="E2" s="3"/>
      <c r="G2" s="16" t="s">
        <v>18</v>
      </c>
      <c r="H2" s="17" t="s">
        <v>19</v>
      </c>
      <c r="I2" s="15" t="s">
        <v>20</v>
      </c>
      <c r="J2" s="15" t="s">
        <v>21</v>
      </c>
      <c r="K2" s="18" t="s">
        <v>22</v>
      </c>
    </row>
    <row r="3" spans="1:11" x14ac:dyDescent="0.2">
      <c r="A3" s="3" t="s">
        <v>14</v>
      </c>
      <c r="B3" s="15" t="s">
        <v>23</v>
      </c>
      <c r="C3" s="15" t="s">
        <v>24</v>
      </c>
      <c r="D3" s="15" t="s">
        <v>25</v>
      </c>
      <c r="E3" s="3"/>
      <c r="G3" s="16" t="s">
        <v>18</v>
      </c>
      <c r="H3" s="17" t="s">
        <v>26</v>
      </c>
      <c r="I3" s="15" t="s">
        <v>27</v>
      </c>
      <c r="J3" s="15" t="s">
        <v>28</v>
      </c>
      <c r="K3" s="18" t="s">
        <v>29</v>
      </c>
    </row>
    <row r="4" spans="1:11" x14ac:dyDescent="0.2">
      <c r="A4" s="3" t="s">
        <v>14</v>
      </c>
      <c r="B4" s="15" t="s">
        <v>30</v>
      </c>
      <c r="C4" s="15" t="s">
        <v>31</v>
      </c>
      <c r="D4" s="15" t="s">
        <v>31</v>
      </c>
      <c r="E4" s="3"/>
      <c r="G4" s="16" t="s">
        <v>18</v>
      </c>
      <c r="H4" s="17" t="s">
        <v>32</v>
      </c>
      <c r="I4" s="15" t="s">
        <v>33</v>
      </c>
      <c r="J4" s="15" t="s">
        <v>34</v>
      </c>
      <c r="K4" s="18" t="s">
        <v>35</v>
      </c>
    </row>
    <row r="5" spans="1:11" x14ac:dyDescent="0.2">
      <c r="A5" s="3" t="s">
        <v>14</v>
      </c>
      <c r="B5" s="15" t="s">
        <v>36</v>
      </c>
      <c r="C5" s="15" t="s">
        <v>37</v>
      </c>
      <c r="D5" s="15" t="s">
        <v>37</v>
      </c>
      <c r="E5" s="3"/>
      <c r="G5" s="16" t="s">
        <v>18</v>
      </c>
      <c r="H5" s="17" t="s">
        <v>38</v>
      </c>
      <c r="I5" s="15" t="s">
        <v>21</v>
      </c>
      <c r="J5" s="15" t="s">
        <v>39</v>
      </c>
      <c r="K5" s="18" t="s">
        <v>40</v>
      </c>
    </row>
    <row r="6" spans="1:11" x14ac:dyDescent="0.2">
      <c r="A6" s="3" t="s">
        <v>14</v>
      </c>
      <c r="B6" s="15" t="s">
        <v>41</v>
      </c>
      <c r="C6" s="15" t="s">
        <v>42</v>
      </c>
      <c r="D6" s="15" t="s">
        <v>43</v>
      </c>
      <c r="E6" s="3"/>
      <c r="G6" s="16" t="s">
        <v>18</v>
      </c>
      <c r="H6" s="17" t="s">
        <v>44</v>
      </c>
      <c r="I6" s="15" t="s">
        <v>45</v>
      </c>
      <c r="J6" s="15" t="s">
        <v>46</v>
      </c>
      <c r="K6" s="18" t="s">
        <v>47</v>
      </c>
    </row>
    <row r="7" spans="1:11" x14ac:dyDescent="0.2">
      <c r="A7" s="3" t="s">
        <v>14</v>
      </c>
      <c r="B7" s="15" t="s">
        <v>48</v>
      </c>
      <c r="C7" s="15" t="s">
        <v>49</v>
      </c>
      <c r="D7" s="15" t="s">
        <v>50</v>
      </c>
      <c r="E7" s="3"/>
      <c r="G7" s="16" t="s">
        <v>18</v>
      </c>
      <c r="H7" s="17" t="s">
        <v>51</v>
      </c>
      <c r="I7" s="15" t="s">
        <v>52</v>
      </c>
      <c r="J7" s="15" t="s">
        <v>53</v>
      </c>
      <c r="K7" s="18" t="s">
        <v>54</v>
      </c>
    </row>
    <row r="8" spans="1:11" x14ac:dyDescent="0.2">
      <c r="A8" s="3" t="s">
        <v>14</v>
      </c>
      <c r="B8" s="15" t="s">
        <v>55</v>
      </c>
      <c r="C8" s="15" t="s">
        <v>56</v>
      </c>
      <c r="D8" s="15" t="s">
        <v>57</v>
      </c>
      <c r="E8" s="3"/>
      <c r="G8" s="16" t="s">
        <v>18</v>
      </c>
      <c r="H8" s="17" t="s">
        <v>58</v>
      </c>
      <c r="I8" s="15" t="s">
        <v>59</v>
      </c>
      <c r="J8" s="15" t="s">
        <v>60</v>
      </c>
      <c r="K8" s="18" t="s">
        <v>61</v>
      </c>
    </row>
    <row r="9" spans="1:11" x14ac:dyDescent="0.2">
      <c r="A9" s="3" t="s">
        <v>14</v>
      </c>
      <c r="B9" s="15" t="s">
        <v>62</v>
      </c>
      <c r="C9" s="15" t="s">
        <v>63</v>
      </c>
      <c r="D9" s="15" t="s">
        <v>63</v>
      </c>
      <c r="E9" s="3"/>
      <c r="G9" s="16" t="s">
        <v>18</v>
      </c>
      <c r="H9" s="17" t="s">
        <v>64</v>
      </c>
      <c r="I9" s="15" t="s">
        <v>65</v>
      </c>
      <c r="J9" s="15" t="s">
        <v>66</v>
      </c>
      <c r="K9" s="18" t="s">
        <v>67</v>
      </c>
    </row>
    <row r="10" spans="1:11" x14ac:dyDescent="0.2">
      <c r="A10" s="3" t="s">
        <v>14</v>
      </c>
      <c r="B10" s="15" t="s">
        <v>68</v>
      </c>
      <c r="C10" s="15" t="s">
        <v>69</v>
      </c>
      <c r="D10" s="15" t="s">
        <v>70</v>
      </c>
      <c r="E10" s="3"/>
      <c r="G10" s="16" t="s">
        <v>18</v>
      </c>
      <c r="H10" s="17" t="s">
        <v>71</v>
      </c>
      <c r="I10" s="15" t="s">
        <v>72</v>
      </c>
      <c r="J10" s="15" t="s">
        <v>73</v>
      </c>
      <c r="K10" s="18" t="s">
        <v>74</v>
      </c>
    </row>
    <row r="11" spans="1:11" x14ac:dyDescent="0.2">
      <c r="A11" s="3" t="s">
        <v>14</v>
      </c>
      <c r="B11" s="15" t="s">
        <v>75</v>
      </c>
      <c r="C11" s="15" t="s">
        <v>76</v>
      </c>
      <c r="D11" s="15" t="s">
        <v>77</v>
      </c>
      <c r="E11" s="3"/>
      <c r="G11" s="16" t="s">
        <v>18</v>
      </c>
      <c r="H11" s="17" t="s">
        <v>78</v>
      </c>
      <c r="I11" s="15" t="s">
        <v>79</v>
      </c>
      <c r="J11" s="15" t="s">
        <v>80</v>
      </c>
      <c r="K11" s="18" t="s">
        <v>81</v>
      </c>
    </row>
    <row r="12" spans="1:11" x14ac:dyDescent="0.2">
      <c r="A12" s="3" t="s">
        <v>14</v>
      </c>
      <c r="B12" s="15" t="s">
        <v>82</v>
      </c>
      <c r="C12" s="15" t="s">
        <v>83</v>
      </c>
      <c r="D12" s="15" t="s">
        <v>84</v>
      </c>
      <c r="E12" s="3"/>
      <c r="G12" s="16" t="s">
        <v>18</v>
      </c>
      <c r="H12" s="17" t="s">
        <v>85</v>
      </c>
      <c r="I12" s="15" t="s">
        <v>86</v>
      </c>
      <c r="J12" s="15" t="s">
        <v>87</v>
      </c>
      <c r="K12" s="18" t="s">
        <v>88</v>
      </c>
    </row>
    <row r="13" spans="1:11" x14ac:dyDescent="0.2">
      <c r="A13" s="3" t="s">
        <v>14</v>
      </c>
      <c r="B13" s="15" t="s">
        <v>89</v>
      </c>
      <c r="C13" s="15" t="s">
        <v>90</v>
      </c>
      <c r="D13" s="15" t="s">
        <v>91</v>
      </c>
      <c r="E13" s="3"/>
      <c r="G13" s="16" t="s">
        <v>18</v>
      </c>
      <c r="H13" s="17" t="s">
        <v>92</v>
      </c>
      <c r="I13" s="15" t="s">
        <v>93</v>
      </c>
      <c r="J13" s="15" t="s">
        <v>94</v>
      </c>
      <c r="K13" s="18" t="s">
        <v>95</v>
      </c>
    </row>
    <row r="14" spans="1:11" x14ac:dyDescent="0.2">
      <c r="A14" s="3" t="s">
        <v>14</v>
      </c>
      <c r="B14" s="15" t="s">
        <v>96</v>
      </c>
      <c r="C14" s="15" t="s">
        <v>97</v>
      </c>
      <c r="D14" s="15" t="s">
        <v>98</v>
      </c>
      <c r="E14" s="3"/>
      <c r="G14" s="16" t="s">
        <v>18</v>
      </c>
      <c r="H14" s="17" t="s">
        <v>99</v>
      </c>
      <c r="I14" s="15" t="s">
        <v>100</v>
      </c>
      <c r="J14" s="15" t="s">
        <v>101</v>
      </c>
      <c r="K14" s="18" t="s">
        <v>102</v>
      </c>
    </row>
    <row r="15" spans="1:11" x14ac:dyDescent="0.2">
      <c r="A15" s="3" t="s">
        <v>14</v>
      </c>
      <c r="B15" s="15" t="s">
        <v>103</v>
      </c>
      <c r="C15" s="15" t="s">
        <v>104</v>
      </c>
      <c r="D15" s="15" t="s">
        <v>105</v>
      </c>
      <c r="E15" s="3"/>
      <c r="G15" s="16" t="s">
        <v>18</v>
      </c>
      <c r="H15" s="17" t="s">
        <v>106</v>
      </c>
      <c r="I15" s="15" t="s">
        <v>107</v>
      </c>
      <c r="J15" s="15" t="s">
        <v>108</v>
      </c>
      <c r="K15" s="18" t="s">
        <v>109</v>
      </c>
    </row>
    <row r="16" spans="1:11" x14ac:dyDescent="0.2">
      <c r="A16" s="3" t="s">
        <v>14</v>
      </c>
      <c r="B16" s="15" t="s">
        <v>110</v>
      </c>
      <c r="C16" s="15" t="s">
        <v>111</v>
      </c>
      <c r="D16" s="15" t="s">
        <v>112</v>
      </c>
      <c r="E16" s="3"/>
      <c r="G16" s="16" t="s">
        <v>18</v>
      </c>
      <c r="H16" s="17" t="s">
        <v>55</v>
      </c>
      <c r="I16" s="15" t="s">
        <v>113</v>
      </c>
      <c r="J16" s="15" t="s">
        <v>114</v>
      </c>
      <c r="K16" s="18" t="s">
        <v>115</v>
      </c>
    </row>
    <row r="17" spans="1:11" x14ac:dyDescent="0.2">
      <c r="A17" s="3" t="s">
        <v>14</v>
      </c>
      <c r="B17" s="15" t="s">
        <v>116</v>
      </c>
      <c r="C17" s="15" t="s">
        <v>117</v>
      </c>
      <c r="D17" s="15" t="s">
        <v>118</v>
      </c>
      <c r="E17" s="3"/>
      <c r="G17" s="16" t="s">
        <v>18</v>
      </c>
      <c r="H17" s="17" t="s">
        <v>119</v>
      </c>
      <c r="I17" s="15" t="s">
        <v>120</v>
      </c>
      <c r="J17" s="15" t="s">
        <v>121</v>
      </c>
      <c r="K17" s="18" t="s">
        <v>122</v>
      </c>
    </row>
    <row r="18" spans="1:11" x14ac:dyDescent="0.2">
      <c r="A18" s="3" t="s">
        <v>14</v>
      </c>
      <c r="B18" s="19" t="s">
        <v>123</v>
      </c>
      <c r="C18" s="19" t="s">
        <v>124</v>
      </c>
      <c r="D18" s="19" t="s">
        <v>124</v>
      </c>
      <c r="E18" s="3"/>
      <c r="G18" s="16" t="s">
        <v>125</v>
      </c>
      <c r="H18" s="15" t="s">
        <v>126</v>
      </c>
      <c r="I18" s="15" t="s">
        <v>127</v>
      </c>
      <c r="J18" s="15" t="s">
        <v>128</v>
      </c>
      <c r="K18" s="18" t="s">
        <v>129</v>
      </c>
    </row>
    <row r="19" spans="1:11" x14ac:dyDescent="0.2">
      <c r="A19" s="3" t="s">
        <v>14</v>
      </c>
      <c r="B19" s="15" t="s">
        <v>130</v>
      </c>
      <c r="C19" s="15" t="s">
        <v>131</v>
      </c>
      <c r="D19" s="15" t="s">
        <v>132</v>
      </c>
      <c r="E19" s="3"/>
      <c r="G19" s="16" t="s">
        <v>125</v>
      </c>
      <c r="H19" s="15" t="s">
        <v>133</v>
      </c>
      <c r="I19" s="15" t="s">
        <v>134</v>
      </c>
      <c r="J19" s="15" t="s">
        <v>135</v>
      </c>
      <c r="K19" s="18" t="s">
        <v>136</v>
      </c>
    </row>
    <row r="20" spans="1:11" x14ac:dyDescent="0.2">
      <c r="A20" s="3" t="s">
        <v>14</v>
      </c>
      <c r="B20" s="15" t="s">
        <v>137</v>
      </c>
      <c r="C20" s="15" t="s">
        <v>138</v>
      </c>
      <c r="D20" s="15" t="s">
        <v>139</v>
      </c>
      <c r="E20" s="3"/>
      <c r="G20" s="16" t="s">
        <v>125</v>
      </c>
      <c r="H20" s="15" t="s">
        <v>140</v>
      </c>
      <c r="I20" s="15" t="s">
        <v>141</v>
      </c>
      <c r="J20" s="15" t="s">
        <v>142</v>
      </c>
      <c r="K20" s="18" t="s">
        <v>143</v>
      </c>
    </row>
    <row r="21" spans="1:11" x14ac:dyDescent="0.2">
      <c r="A21" s="3" t="s">
        <v>14</v>
      </c>
      <c r="B21" s="15" t="s">
        <v>144</v>
      </c>
      <c r="C21" s="15" t="s">
        <v>145</v>
      </c>
      <c r="D21" s="15" t="s">
        <v>146</v>
      </c>
      <c r="E21" s="3"/>
      <c r="G21" s="16" t="s">
        <v>125</v>
      </c>
      <c r="H21" s="15" t="s">
        <v>147</v>
      </c>
      <c r="I21" s="15" t="s">
        <v>148</v>
      </c>
      <c r="J21" s="15" t="s">
        <v>149</v>
      </c>
      <c r="K21" s="18" t="s">
        <v>150</v>
      </c>
    </row>
    <row r="22" spans="1:11" x14ac:dyDescent="0.2">
      <c r="A22" s="3" t="s">
        <v>14</v>
      </c>
      <c r="B22" s="15" t="s">
        <v>151</v>
      </c>
      <c r="C22" s="15" t="s">
        <v>152</v>
      </c>
      <c r="D22" s="15" t="s">
        <v>152</v>
      </c>
      <c r="E22" s="3"/>
      <c r="G22" s="16" t="s">
        <v>125</v>
      </c>
      <c r="H22" s="15" t="s">
        <v>153</v>
      </c>
      <c r="I22" s="15" t="s">
        <v>154</v>
      </c>
      <c r="J22" s="15" t="s">
        <v>155</v>
      </c>
      <c r="K22" s="18" t="s">
        <v>156</v>
      </c>
    </row>
    <row r="23" spans="1:11" x14ac:dyDescent="0.2">
      <c r="A23" s="3" t="s">
        <v>14</v>
      </c>
      <c r="B23" s="15" t="s">
        <v>157</v>
      </c>
      <c r="C23" s="15" t="s">
        <v>158</v>
      </c>
      <c r="D23" s="15" t="s">
        <v>159</v>
      </c>
      <c r="E23" s="3"/>
      <c r="G23" s="16" t="s">
        <v>125</v>
      </c>
      <c r="H23" s="15" t="s">
        <v>160</v>
      </c>
      <c r="I23" s="15" t="s">
        <v>161</v>
      </c>
      <c r="J23" s="15" t="s">
        <v>162</v>
      </c>
      <c r="K23" s="18" t="s">
        <v>163</v>
      </c>
    </row>
    <row r="24" spans="1:11" x14ac:dyDescent="0.2">
      <c r="A24" s="3" t="s">
        <v>14</v>
      </c>
      <c r="B24" s="15" t="s">
        <v>164</v>
      </c>
      <c r="C24" s="15" t="s">
        <v>165</v>
      </c>
      <c r="D24" s="15" t="s">
        <v>165</v>
      </c>
      <c r="E24" s="3"/>
      <c r="G24" s="16" t="s">
        <v>125</v>
      </c>
      <c r="H24" s="15" t="s">
        <v>166</v>
      </c>
      <c r="I24" s="15" t="s">
        <v>167</v>
      </c>
      <c r="J24" s="15" t="s">
        <v>168</v>
      </c>
      <c r="K24" s="18" t="s">
        <v>169</v>
      </c>
    </row>
    <row r="25" spans="1:11" x14ac:dyDescent="0.2">
      <c r="A25" s="3" t="s">
        <v>14</v>
      </c>
      <c r="B25" s="15" t="s">
        <v>170</v>
      </c>
      <c r="C25" s="15" t="s">
        <v>171</v>
      </c>
      <c r="D25" s="15" t="s">
        <v>172</v>
      </c>
      <c r="E25" s="3"/>
      <c r="G25" s="16" t="s">
        <v>125</v>
      </c>
      <c r="H25" s="15" t="s">
        <v>173</v>
      </c>
      <c r="I25" s="15" t="s">
        <v>174</v>
      </c>
      <c r="J25" s="15" t="s">
        <v>175</v>
      </c>
      <c r="K25" s="18" t="s">
        <v>176</v>
      </c>
    </row>
    <row r="26" spans="1:11" x14ac:dyDescent="0.2">
      <c r="A26" s="3" t="s">
        <v>14</v>
      </c>
      <c r="B26" s="15" t="s">
        <v>177</v>
      </c>
      <c r="C26" s="15" t="s">
        <v>178</v>
      </c>
      <c r="D26" s="15" t="s">
        <v>178</v>
      </c>
      <c r="E26" s="3"/>
      <c r="G26" s="16" t="s">
        <v>125</v>
      </c>
      <c r="H26" s="15" t="s">
        <v>179</v>
      </c>
      <c r="I26" s="15" t="s">
        <v>180</v>
      </c>
      <c r="J26" s="15" t="s">
        <v>181</v>
      </c>
      <c r="K26" s="18" t="s">
        <v>182</v>
      </c>
    </row>
    <row r="27" spans="1:11" x14ac:dyDescent="0.2">
      <c r="A27" s="3" t="s">
        <v>14</v>
      </c>
      <c r="B27" s="15" t="s">
        <v>183</v>
      </c>
      <c r="C27" s="15" t="s">
        <v>184</v>
      </c>
      <c r="D27" s="15" t="s">
        <v>185</v>
      </c>
      <c r="E27" s="3"/>
      <c r="G27" s="16" t="s">
        <v>125</v>
      </c>
      <c r="H27" s="15" t="s">
        <v>186</v>
      </c>
      <c r="I27" s="15" t="s">
        <v>187</v>
      </c>
      <c r="J27" s="15" t="s">
        <v>188</v>
      </c>
      <c r="K27" s="18" t="s">
        <v>189</v>
      </c>
    </row>
    <row r="28" spans="1:11" x14ac:dyDescent="0.2">
      <c r="A28" s="3" t="s">
        <v>14</v>
      </c>
      <c r="B28" s="15" t="s">
        <v>190</v>
      </c>
      <c r="C28" s="15" t="s">
        <v>191</v>
      </c>
      <c r="D28" s="15" t="s">
        <v>191</v>
      </c>
      <c r="E28" s="3"/>
      <c r="G28" s="16" t="s">
        <v>125</v>
      </c>
      <c r="H28" s="15" t="s">
        <v>192</v>
      </c>
      <c r="I28" s="15" t="s">
        <v>193</v>
      </c>
      <c r="J28" s="15" t="s">
        <v>194</v>
      </c>
      <c r="K28" s="18" t="s">
        <v>195</v>
      </c>
    </row>
    <row r="29" spans="1:11" x14ac:dyDescent="0.2">
      <c r="A29" s="3" t="s">
        <v>14</v>
      </c>
      <c r="B29" s="19" t="s">
        <v>196</v>
      </c>
      <c r="C29" s="19" t="s">
        <v>197</v>
      </c>
      <c r="D29" s="19" t="s">
        <v>197</v>
      </c>
      <c r="E29" s="3"/>
      <c r="G29" s="16" t="s">
        <v>125</v>
      </c>
      <c r="H29" s="15" t="s">
        <v>198</v>
      </c>
      <c r="I29" s="15" t="s">
        <v>199</v>
      </c>
      <c r="J29" s="15" t="s">
        <v>200</v>
      </c>
      <c r="K29" s="18" t="s">
        <v>201</v>
      </c>
    </row>
    <row r="30" spans="1:11" x14ac:dyDescent="0.2">
      <c r="A30" s="3" t="s">
        <v>14</v>
      </c>
      <c r="B30" s="15" t="s">
        <v>202</v>
      </c>
      <c r="C30" s="15" t="s">
        <v>203</v>
      </c>
      <c r="D30" s="15" t="s">
        <v>203</v>
      </c>
      <c r="E30" s="3"/>
      <c r="G30" s="16" t="s">
        <v>125</v>
      </c>
      <c r="H30" s="15" t="s">
        <v>204</v>
      </c>
      <c r="I30" s="15" t="s">
        <v>205</v>
      </c>
      <c r="J30" s="15" t="s">
        <v>206</v>
      </c>
      <c r="K30" s="18" t="s">
        <v>207</v>
      </c>
    </row>
    <row r="31" spans="1:11" x14ac:dyDescent="0.2">
      <c r="A31" s="3" t="s">
        <v>14</v>
      </c>
      <c r="B31" s="15" t="s">
        <v>208</v>
      </c>
      <c r="C31" s="15" t="s">
        <v>209</v>
      </c>
      <c r="D31" s="15" t="s">
        <v>209</v>
      </c>
      <c r="E31" s="3"/>
      <c r="G31" s="16" t="s">
        <v>125</v>
      </c>
      <c r="H31" s="15" t="s">
        <v>210</v>
      </c>
      <c r="I31" s="15" t="s">
        <v>211</v>
      </c>
      <c r="J31" s="15" t="s">
        <v>212</v>
      </c>
      <c r="K31" s="18" t="s">
        <v>213</v>
      </c>
    </row>
    <row r="32" spans="1:11" x14ac:dyDescent="0.2">
      <c r="A32" s="3" t="s">
        <v>14</v>
      </c>
      <c r="B32" s="15" t="s">
        <v>214</v>
      </c>
      <c r="C32" s="15" t="s">
        <v>215</v>
      </c>
      <c r="D32" s="15" t="s">
        <v>215</v>
      </c>
      <c r="E32" s="3"/>
      <c r="G32" s="16" t="s">
        <v>125</v>
      </c>
      <c r="H32" s="15" t="s">
        <v>216</v>
      </c>
      <c r="I32" s="15" t="s">
        <v>217</v>
      </c>
      <c r="J32" s="15" t="s">
        <v>218</v>
      </c>
      <c r="K32" s="18" t="s">
        <v>219</v>
      </c>
    </row>
    <row r="33" spans="1:11" x14ac:dyDescent="0.2">
      <c r="A33" s="3" t="s">
        <v>14</v>
      </c>
      <c r="B33" s="15" t="s">
        <v>220</v>
      </c>
      <c r="C33" s="15" t="s">
        <v>221</v>
      </c>
      <c r="D33" s="15" t="s">
        <v>221</v>
      </c>
      <c r="E33" s="3"/>
      <c r="G33" s="16" t="s">
        <v>125</v>
      </c>
      <c r="H33" s="15" t="s">
        <v>222</v>
      </c>
      <c r="I33" s="15" t="s">
        <v>223</v>
      </c>
      <c r="J33" s="15" t="s">
        <v>224</v>
      </c>
      <c r="K33" s="18" t="s">
        <v>225</v>
      </c>
    </row>
    <row r="34" spans="1:11" x14ac:dyDescent="0.2">
      <c r="A34" s="3" t="s">
        <v>14</v>
      </c>
      <c r="B34" s="15" t="s">
        <v>226</v>
      </c>
      <c r="C34" s="15" t="s">
        <v>227</v>
      </c>
      <c r="D34" s="15" t="s">
        <v>228</v>
      </c>
      <c r="E34" s="3"/>
      <c r="G34" s="16" t="s">
        <v>125</v>
      </c>
      <c r="H34" s="15" t="s">
        <v>229</v>
      </c>
      <c r="I34" s="15" t="s">
        <v>230</v>
      </c>
      <c r="J34" s="15" t="s">
        <v>231</v>
      </c>
      <c r="K34" s="18" t="s">
        <v>232</v>
      </c>
    </row>
    <row r="35" spans="1:11" x14ac:dyDescent="0.2">
      <c r="A35" s="3" t="s">
        <v>14</v>
      </c>
      <c r="B35" s="15" t="s">
        <v>233</v>
      </c>
      <c r="C35" s="15" t="s">
        <v>234</v>
      </c>
      <c r="D35" s="15" t="s">
        <v>235</v>
      </c>
      <c r="E35" s="3"/>
      <c r="G35" s="16" t="s">
        <v>125</v>
      </c>
      <c r="H35" s="15" t="s">
        <v>236</v>
      </c>
      <c r="I35" s="15" t="s">
        <v>237</v>
      </c>
      <c r="J35" s="15" t="s">
        <v>238</v>
      </c>
      <c r="K35" s="18" t="s">
        <v>239</v>
      </c>
    </row>
    <row r="36" spans="1:11" x14ac:dyDescent="0.2">
      <c r="A36" s="3" t="s">
        <v>14</v>
      </c>
      <c r="B36" s="15" t="s">
        <v>240</v>
      </c>
      <c r="C36" s="15" t="s">
        <v>241</v>
      </c>
      <c r="D36" s="15" t="s">
        <v>241</v>
      </c>
      <c r="E36" s="3"/>
      <c r="G36" s="16" t="s">
        <v>125</v>
      </c>
      <c r="H36" s="15" t="s">
        <v>242</v>
      </c>
      <c r="I36" s="15" t="s">
        <v>243</v>
      </c>
      <c r="J36" s="15" t="s">
        <v>244</v>
      </c>
      <c r="K36" s="18" t="s">
        <v>245</v>
      </c>
    </row>
    <row r="37" spans="1:11" x14ac:dyDescent="0.2">
      <c r="A37" s="3" t="s">
        <v>14</v>
      </c>
      <c r="B37" s="15" t="s">
        <v>246</v>
      </c>
      <c r="C37" s="15" t="s">
        <v>247</v>
      </c>
      <c r="D37" s="15" t="s">
        <v>247</v>
      </c>
      <c r="E37" s="3"/>
      <c r="G37" s="16" t="s">
        <v>125</v>
      </c>
      <c r="H37" s="15" t="s">
        <v>248</v>
      </c>
      <c r="I37" s="15" t="s">
        <v>249</v>
      </c>
      <c r="J37" s="15" t="s">
        <v>250</v>
      </c>
      <c r="K37" s="18" t="s">
        <v>251</v>
      </c>
    </row>
    <row r="38" spans="1:11" x14ac:dyDescent="0.2">
      <c r="A38" s="3" t="s">
        <v>14</v>
      </c>
      <c r="B38" s="19" t="s">
        <v>252</v>
      </c>
      <c r="C38" s="19" t="s">
        <v>253</v>
      </c>
      <c r="D38" s="19" t="s">
        <v>254</v>
      </c>
      <c r="E38" s="3"/>
      <c r="G38" s="16" t="s">
        <v>125</v>
      </c>
      <c r="H38" s="15" t="s">
        <v>255</v>
      </c>
      <c r="I38" s="15" t="s">
        <v>256</v>
      </c>
      <c r="J38" s="15" t="s">
        <v>257</v>
      </c>
      <c r="K38" s="18" t="s">
        <v>258</v>
      </c>
    </row>
    <row r="39" spans="1:11" x14ac:dyDescent="0.2">
      <c r="A39" s="3" t="s">
        <v>14</v>
      </c>
      <c r="B39" s="15" t="s">
        <v>259</v>
      </c>
      <c r="C39" s="15" t="s">
        <v>260</v>
      </c>
      <c r="D39" s="15" t="s">
        <v>261</v>
      </c>
      <c r="E39" s="3"/>
      <c r="G39" s="16" t="s">
        <v>125</v>
      </c>
      <c r="H39" s="15" t="s">
        <v>262</v>
      </c>
      <c r="I39" s="15" t="s">
        <v>263</v>
      </c>
      <c r="J39" s="15" t="s">
        <v>264</v>
      </c>
      <c r="K39" s="18" t="s">
        <v>265</v>
      </c>
    </row>
    <row r="40" spans="1:11" x14ac:dyDescent="0.2">
      <c r="A40" s="3" t="s">
        <v>14</v>
      </c>
      <c r="B40" s="15" t="s">
        <v>266</v>
      </c>
      <c r="C40" s="15" t="s">
        <v>267</v>
      </c>
      <c r="D40" s="15" t="s">
        <v>268</v>
      </c>
      <c r="E40" s="3"/>
      <c r="G40" s="16" t="s">
        <v>125</v>
      </c>
      <c r="H40" s="15" t="s">
        <v>269</v>
      </c>
      <c r="I40" s="15" t="s">
        <v>270</v>
      </c>
      <c r="J40" s="15" t="s">
        <v>271</v>
      </c>
      <c r="K40" s="18" t="s">
        <v>288</v>
      </c>
    </row>
    <row r="41" spans="1:11" x14ac:dyDescent="0.2">
      <c r="A41" s="2" t="s">
        <v>14</v>
      </c>
      <c r="B41" s="24" t="s">
        <v>289</v>
      </c>
      <c r="C41" s="24" t="s">
        <v>290</v>
      </c>
      <c r="D41" s="24" t="s">
        <v>290</v>
      </c>
      <c r="E41" s="3"/>
      <c r="G41" s="16" t="s">
        <v>125</v>
      </c>
      <c r="H41" s="15" t="s">
        <v>291</v>
      </c>
      <c r="I41" s="15" t="s">
        <v>292</v>
      </c>
      <c r="J41" s="15" t="s">
        <v>293</v>
      </c>
      <c r="K41" s="18" t="s">
        <v>294</v>
      </c>
    </row>
    <row r="42" spans="1:11" x14ac:dyDescent="0.2">
      <c r="A42" s="3" t="s">
        <v>14</v>
      </c>
      <c r="B42" s="15" t="s">
        <v>295</v>
      </c>
      <c r="C42" s="15" t="s">
        <v>296</v>
      </c>
      <c r="D42" s="15" t="s">
        <v>297</v>
      </c>
      <c r="E42" s="3"/>
      <c r="G42" s="16" t="s">
        <v>125</v>
      </c>
      <c r="H42" s="15" t="s">
        <v>298</v>
      </c>
      <c r="I42" s="15" t="s">
        <v>299</v>
      </c>
      <c r="J42" s="15" t="s">
        <v>300</v>
      </c>
      <c r="K42" s="18" t="s">
        <v>301</v>
      </c>
    </row>
    <row r="43" spans="1:11" x14ac:dyDescent="0.2">
      <c r="A43" s="3" t="s">
        <v>14</v>
      </c>
      <c r="B43" s="15" t="s">
        <v>302</v>
      </c>
      <c r="C43" s="15" t="s">
        <v>303</v>
      </c>
      <c r="D43" s="15" t="s">
        <v>304</v>
      </c>
      <c r="E43" s="3"/>
      <c r="G43" s="16" t="s">
        <v>125</v>
      </c>
      <c r="H43" s="15" t="s">
        <v>305</v>
      </c>
      <c r="I43" s="15" t="s">
        <v>306</v>
      </c>
      <c r="J43" s="15" t="s">
        <v>307</v>
      </c>
      <c r="K43" s="18" t="s">
        <v>308</v>
      </c>
    </row>
    <row r="44" spans="1:11" x14ac:dyDescent="0.2">
      <c r="A44" s="3" t="s">
        <v>14</v>
      </c>
      <c r="B44" s="15" t="s">
        <v>309</v>
      </c>
      <c r="C44" s="15" t="s">
        <v>310</v>
      </c>
      <c r="D44" s="15" t="s">
        <v>311</v>
      </c>
      <c r="E44" s="3"/>
      <c r="G44" s="16" t="s">
        <v>125</v>
      </c>
      <c r="H44" s="15" t="s">
        <v>312</v>
      </c>
      <c r="I44" s="15" t="s">
        <v>313</v>
      </c>
      <c r="J44" s="15" t="s">
        <v>314</v>
      </c>
      <c r="K44" s="18" t="s">
        <v>315</v>
      </c>
    </row>
    <row r="45" spans="1:11" x14ac:dyDescent="0.2">
      <c r="A45" s="3" t="s">
        <v>14</v>
      </c>
      <c r="B45" s="19" t="s">
        <v>316</v>
      </c>
      <c r="C45" s="15" t="s">
        <v>317</v>
      </c>
      <c r="D45" s="15" t="s">
        <v>317</v>
      </c>
      <c r="E45" s="3"/>
      <c r="G45" s="16" t="s">
        <v>125</v>
      </c>
      <c r="H45" s="15" t="s">
        <v>318</v>
      </c>
      <c r="I45" s="15" t="s">
        <v>319</v>
      </c>
      <c r="J45" s="15" t="s">
        <v>320</v>
      </c>
      <c r="K45" s="18" t="s">
        <v>321</v>
      </c>
    </row>
    <row r="46" spans="1:11" x14ac:dyDescent="0.2">
      <c r="A46" s="3" t="s">
        <v>14</v>
      </c>
      <c r="B46" s="15" t="s">
        <v>322</v>
      </c>
      <c r="C46" s="15" t="s">
        <v>323</v>
      </c>
      <c r="D46" s="15" t="s">
        <v>324</v>
      </c>
      <c r="E46" s="3"/>
      <c r="G46" s="16" t="s">
        <v>125</v>
      </c>
      <c r="H46" s="15" t="s">
        <v>325</v>
      </c>
      <c r="I46" s="15" t="s">
        <v>326</v>
      </c>
      <c r="J46" s="15" t="s">
        <v>327</v>
      </c>
      <c r="K46" s="18" t="s">
        <v>328</v>
      </c>
    </row>
    <row r="47" spans="1:11" x14ac:dyDescent="0.2">
      <c r="A47" s="3" t="s">
        <v>14</v>
      </c>
      <c r="B47" s="15" t="s">
        <v>329</v>
      </c>
      <c r="C47" s="15" t="s">
        <v>330</v>
      </c>
      <c r="D47" s="15" t="s">
        <v>331</v>
      </c>
      <c r="E47" s="3"/>
      <c r="G47" s="16" t="s">
        <v>125</v>
      </c>
      <c r="H47" s="15" t="s">
        <v>332</v>
      </c>
      <c r="I47" s="15" t="s">
        <v>333</v>
      </c>
      <c r="J47" s="15" t="s">
        <v>334</v>
      </c>
      <c r="K47" s="18" t="s">
        <v>335</v>
      </c>
    </row>
    <row r="48" spans="1:11" x14ac:dyDescent="0.2">
      <c r="A48" s="3" t="s">
        <v>14</v>
      </c>
      <c r="B48" s="15" t="s">
        <v>336</v>
      </c>
      <c r="C48" s="15" t="s">
        <v>337</v>
      </c>
      <c r="D48" s="15" t="s">
        <v>337</v>
      </c>
      <c r="E48" s="3"/>
      <c r="G48" s="16" t="s">
        <v>125</v>
      </c>
      <c r="H48" s="15" t="s">
        <v>338</v>
      </c>
      <c r="I48" s="15" t="s">
        <v>339</v>
      </c>
      <c r="J48" s="15" t="s">
        <v>340</v>
      </c>
      <c r="K48" s="18" t="s">
        <v>341</v>
      </c>
    </row>
    <row r="49" spans="1:11" x14ac:dyDescent="0.2">
      <c r="A49" s="3" t="s">
        <v>14</v>
      </c>
      <c r="B49" s="15" t="s">
        <v>342</v>
      </c>
      <c r="C49" s="15" t="s">
        <v>343</v>
      </c>
      <c r="D49" s="19" t="s">
        <v>343</v>
      </c>
      <c r="E49" s="3"/>
      <c r="G49" s="16" t="s">
        <v>125</v>
      </c>
      <c r="H49" s="15" t="s">
        <v>344</v>
      </c>
      <c r="I49" s="15" t="s">
        <v>345</v>
      </c>
      <c r="J49" s="15" t="s">
        <v>346</v>
      </c>
      <c r="K49" s="18" t="s">
        <v>347</v>
      </c>
    </row>
    <row r="50" spans="1:11" x14ac:dyDescent="0.2">
      <c r="A50" s="3" t="s">
        <v>14</v>
      </c>
      <c r="B50" s="15" t="s">
        <v>348</v>
      </c>
      <c r="C50" s="15" t="s">
        <v>349</v>
      </c>
      <c r="D50" s="19" t="s">
        <v>350</v>
      </c>
      <c r="E50" s="3"/>
      <c r="G50" s="16" t="s">
        <v>125</v>
      </c>
      <c r="H50" s="15" t="s">
        <v>351</v>
      </c>
      <c r="I50" s="15" t="s">
        <v>352</v>
      </c>
      <c r="J50" s="15" t="s">
        <v>353</v>
      </c>
      <c r="K50" s="18" t="s">
        <v>354</v>
      </c>
    </row>
    <row r="51" spans="1:11" ht="16.5" x14ac:dyDescent="0.2">
      <c r="A51" s="3" t="s">
        <v>14</v>
      </c>
      <c r="B51" s="15" t="s">
        <v>355</v>
      </c>
      <c r="C51" s="15" t="s">
        <v>356</v>
      </c>
      <c r="D51" s="19" t="s">
        <v>357</v>
      </c>
      <c r="E51" s="3"/>
      <c r="G51" s="16" t="s">
        <v>125</v>
      </c>
      <c r="H51" s="15" t="s">
        <v>358</v>
      </c>
      <c r="I51" s="15" t="s">
        <v>359</v>
      </c>
      <c r="J51" s="15" t="s">
        <v>360</v>
      </c>
      <c r="K51" s="18" t="s">
        <v>361</v>
      </c>
    </row>
    <row r="52" spans="1:11" x14ac:dyDescent="0.2">
      <c r="A52" s="15" t="s">
        <v>894</v>
      </c>
      <c r="B52" s="15" t="s">
        <v>362</v>
      </c>
      <c r="C52" s="15" t="s">
        <v>363</v>
      </c>
      <c r="D52" s="15" t="s">
        <v>364</v>
      </c>
      <c r="E52" s="15" t="s">
        <v>365</v>
      </c>
      <c r="F52" s="20"/>
      <c r="G52" s="16" t="s">
        <v>125</v>
      </c>
      <c r="H52" s="15" t="s">
        <v>366</v>
      </c>
      <c r="I52" s="15" t="s">
        <v>367</v>
      </c>
      <c r="J52" s="15" t="s">
        <v>368</v>
      </c>
      <c r="K52" s="18" t="s">
        <v>369</v>
      </c>
    </row>
    <row r="53" spans="1:11" ht="13.7" customHeight="1" x14ac:dyDescent="0.2">
      <c r="A53" s="15" t="s">
        <v>894</v>
      </c>
      <c r="B53" s="15" t="s">
        <v>370</v>
      </c>
      <c r="C53" s="15" t="s">
        <v>371</v>
      </c>
      <c r="D53" s="15" t="s">
        <v>372</v>
      </c>
      <c r="E53" s="15" t="s">
        <v>365</v>
      </c>
      <c r="F53" s="20"/>
      <c r="G53" s="16" t="s">
        <v>125</v>
      </c>
      <c r="H53" s="15" t="s">
        <v>373</v>
      </c>
      <c r="I53" s="15" t="s">
        <v>374</v>
      </c>
      <c r="J53" s="15" t="s">
        <v>375</v>
      </c>
      <c r="K53" s="18" t="s">
        <v>376</v>
      </c>
    </row>
    <row r="54" spans="1:11" x14ac:dyDescent="0.2">
      <c r="A54" s="15" t="s">
        <v>894</v>
      </c>
      <c r="B54" s="15" t="s">
        <v>377</v>
      </c>
      <c r="C54" s="15" t="s">
        <v>378</v>
      </c>
      <c r="D54" s="15" t="s">
        <v>379</v>
      </c>
      <c r="E54" s="15" t="s">
        <v>365</v>
      </c>
      <c r="F54" s="20"/>
      <c r="G54" s="16" t="s">
        <v>125</v>
      </c>
      <c r="H54" s="15" t="s">
        <v>380</v>
      </c>
      <c r="I54" s="15" t="s">
        <v>381</v>
      </c>
      <c r="J54" s="15" t="s">
        <v>382</v>
      </c>
      <c r="K54" s="18" t="s">
        <v>383</v>
      </c>
    </row>
    <row r="55" spans="1:11" x14ac:dyDescent="0.2">
      <c r="A55" s="15" t="s">
        <v>894</v>
      </c>
      <c r="B55" s="15" t="s">
        <v>384</v>
      </c>
      <c r="C55" s="15" t="s">
        <v>385</v>
      </c>
      <c r="D55" s="15" t="s">
        <v>386</v>
      </c>
      <c r="E55" s="15" t="s">
        <v>365</v>
      </c>
      <c r="F55" s="20"/>
      <c r="G55" s="16" t="s">
        <v>125</v>
      </c>
      <c r="H55" s="15" t="s">
        <v>387</v>
      </c>
      <c r="I55" s="15" t="s">
        <v>388</v>
      </c>
      <c r="J55" s="15" t="s">
        <v>389</v>
      </c>
      <c r="K55" s="18" t="s">
        <v>390</v>
      </c>
    </row>
    <row r="56" spans="1:11" x14ac:dyDescent="0.2">
      <c r="A56" s="15" t="s">
        <v>894</v>
      </c>
      <c r="B56" s="15" t="s">
        <v>391</v>
      </c>
      <c r="C56" s="15" t="s">
        <v>392</v>
      </c>
      <c r="D56" s="15" t="s">
        <v>393</v>
      </c>
      <c r="E56" s="15" t="s">
        <v>394</v>
      </c>
      <c r="F56" s="20"/>
      <c r="G56" s="16" t="s">
        <v>125</v>
      </c>
      <c r="H56" s="15" t="s">
        <v>395</v>
      </c>
      <c r="I56" s="15" t="s">
        <v>396</v>
      </c>
      <c r="J56" s="15" t="s">
        <v>397</v>
      </c>
      <c r="K56" s="18" t="s">
        <v>398</v>
      </c>
    </row>
    <row r="57" spans="1:11" x14ac:dyDescent="0.2">
      <c r="A57" s="15" t="s">
        <v>894</v>
      </c>
      <c r="B57" s="15" t="s">
        <v>399</v>
      </c>
      <c r="C57" s="15" t="s">
        <v>400</v>
      </c>
      <c r="D57" s="15" t="s">
        <v>401</v>
      </c>
      <c r="E57" s="15" t="s">
        <v>402</v>
      </c>
      <c r="F57" s="20"/>
      <c r="G57" s="16" t="s">
        <v>125</v>
      </c>
      <c r="H57" s="15" t="s">
        <v>403</v>
      </c>
      <c r="I57" s="15" t="s">
        <v>404</v>
      </c>
      <c r="J57" s="15" t="s">
        <v>405</v>
      </c>
      <c r="K57" s="18" t="s">
        <v>406</v>
      </c>
    </row>
    <row r="58" spans="1:11" x14ac:dyDescent="0.2">
      <c r="A58" s="15" t="s">
        <v>894</v>
      </c>
      <c r="B58" s="15" t="s">
        <v>407</v>
      </c>
      <c r="C58" s="15" t="s">
        <v>408</v>
      </c>
      <c r="D58" s="15" t="s">
        <v>409</v>
      </c>
      <c r="E58" s="15" t="s">
        <v>365</v>
      </c>
      <c r="F58" s="20"/>
      <c r="G58" s="16" t="s">
        <v>125</v>
      </c>
      <c r="H58" s="15" t="s">
        <v>410</v>
      </c>
      <c r="I58" s="15" t="s">
        <v>411</v>
      </c>
      <c r="J58" s="15" t="s">
        <v>412</v>
      </c>
      <c r="K58" s="18" t="s">
        <v>413</v>
      </c>
    </row>
    <row r="59" spans="1:11" x14ac:dyDescent="0.2">
      <c r="A59" s="15" t="s">
        <v>894</v>
      </c>
      <c r="B59" s="15" t="s">
        <v>414</v>
      </c>
      <c r="C59" s="15" t="s">
        <v>415</v>
      </c>
      <c r="D59" s="15" t="s">
        <v>416</v>
      </c>
      <c r="E59" s="15" t="s">
        <v>365</v>
      </c>
      <c r="F59" s="20"/>
      <c r="G59" s="16" t="s">
        <v>125</v>
      </c>
      <c r="H59" s="15" t="s">
        <v>417</v>
      </c>
      <c r="I59" s="15" t="s">
        <v>418</v>
      </c>
      <c r="J59" s="15" t="s">
        <v>419</v>
      </c>
      <c r="K59" s="18" t="s">
        <v>420</v>
      </c>
    </row>
    <row r="60" spans="1:11" x14ac:dyDescent="0.2">
      <c r="A60" s="15" t="s">
        <v>894</v>
      </c>
      <c r="B60" s="15" t="s">
        <v>421</v>
      </c>
      <c r="C60" s="15" t="s">
        <v>422</v>
      </c>
      <c r="D60" s="15" t="s">
        <v>423</v>
      </c>
      <c r="E60" s="15" t="s">
        <v>365</v>
      </c>
      <c r="F60" s="20"/>
      <c r="G60" s="16" t="s">
        <v>125</v>
      </c>
      <c r="H60" s="15" t="s">
        <v>424</v>
      </c>
      <c r="I60" s="15" t="s">
        <v>425</v>
      </c>
      <c r="J60" s="15" t="s">
        <v>426</v>
      </c>
      <c r="K60" s="18" t="s">
        <v>427</v>
      </c>
    </row>
    <row r="61" spans="1:11" x14ac:dyDescent="0.2">
      <c r="A61" s="15" t="s">
        <v>894</v>
      </c>
      <c r="B61" s="15" t="s">
        <v>428</v>
      </c>
      <c r="C61" s="15" t="s">
        <v>429</v>
      </c>
      <c r="D61" s="15" t="s">
        <v>430</v>
      </c>
      <c r="E61" s="15" t="s">
        <v>394</v>
      </c>
      <c r="F61" s="20"/>
      <c r="G61" s="16" t="s">
        <v>125</v>
      </c>
      <c r="H61" s="15" t="s">
        <v>431</v>
      </c>
      <c r="I61" s="15" t="s">
        <v>432</v>
      </c>
      <c r="J61" s="15" t="s">
        <v>433</v>
      </c>
      <c r="K61" s="18" t="s">
        <v>434</v>
      </c>
    </row>
    <row r="62" spans="1:11" x14ac:dyDescent="0.2">
      <c r="A62" s="15" t="s">
        <v>894</v>
      </c>
      <c r="B62" s="15" t="s">
        <v>435</v>
      </c>
      <c r="C62" s="15" t="s">
        <v>436</v>
      </c>
      <c r="D62" s="15" t="s">
        <v>437</v>
      </c>
      <c r="E62" s="15" t="s">
        <v>365</v>
      </c>
      <c r="F62" s="20"/>
      <c r="G62" s="16" t="s">
        <v>125</v>
      </c>
      <c r="H62" s="15" t="s">
        <v>438</v>
      </c>
      <c r="I62" s="15" t="s">
        <v>439</v>
      </c>
      <c r="J62" s="15" t="s">
        <v>440</v>
      </c>
      <c r="K62" s="18" t="s">
        <v>441</v>
      </c>
    </row>
    <row r="63" spans="1:11" x14ac:dyDescent="0.2">
      <c r="A63" s="15" t="s">
        <v>894</v>
      </c>
      <c r="B63" s="15" t="s">
        <v>442</v>
      </c>
      <c r="C63" s="15" t="s">
        <v>443</v>
      </c>
      <c r="D63" s="15" t="s">
        <v>444</v>
      </c>
      <c r="E63" s="15" t="s">
        <v>394</v>
      </c>
      <c r="F63" s="20"/>
      <c r="G63" s="16" t="s">
        <v>125</v>
      </c>
      <c r="H63" s="15" t="s">
        <v>445</v>
      </c>
      <c r="I63" s="15" t="s">
        <v>446</v>
      </c>
      <c r="J63" s="15" t="s">
        <v>447</v>
      </c>
      <c r="K63" s="18" t="s">
        <v>448</v>
      </c>
    </row>
    <row r="64" spans="1:11" x14ac:dyDescent="0.2">
      <c r="A64" s="15" t="s">
        <v>894</v>
      </c>
      <c r="B64" s="15" t="s">
        <v>449</v>
      </c>
      <c r="C64" s="15" t="s">
        <v>450</v>
      </c>
      <c r="D64" s="15" t="s">
        <v>451</v>
      </c>
      <c r="E64" s="15" t="s">
        <v>394</v>
      </c>
      <c r="F64" s="20"/>
      <c r="G64" s="16" t="s">
        <v>125</v>
      </c>
      <c r="H64" s="15" t="s">
        <v>452</v>
      </c>
      <c r="I64" s="15" t="s">
        <v>453</v>
      </c>
      <c r="J64" s="15" t="s">
        <v>454</v>
      </c>
      <c r="K64" s="18" t="s">
        <v>455</v>
      </c>
    </row>
    <row r="65" spans="1:11" x14ac:dyDescent="0.2">
      <c r="A65" s="15" t="s">
        <v>894</v>
      </c>
      <c r="B65" s="15" t="s">
        <v>456</v>
      </c>
      <c r="C65" s="15" t="s">
        <v>457</v>
      </c>
      <c r="D65" s="15" t="s">
        <v>458</v>
      </c>
      <c r="E65" s="15" t="s">
        <v>402</v>
      </c>
      <c r="F65" s="20"/>
      <c r="G65" s="16" t="s">
        <v>125</v>
      </c>
      <c r="H65" s="15" t="s">
        <v>459</v>
      </c>
      <c r="I65" s="15" t="s">
        <v>460</v>
      </c>
      <c r="J65" s="15" t="s">
        <v>461</v>
      </c>
      <c r="K65" s="18" t="s">
        <v>462</v>
      </c>
    </row>
    <row r="66" spans="1:11" x14ac:dyDescent="0.2">
      <c r="A66" s="15" t="s">
        <v>894</v>
      </c>
      <c r="B66" s="15" t="s">
        <v>463</v>
      </c>
      <c r="C66" s="15" t="s">
        <v>464</v>
      </c>
      <c r="D66" s="15" t="s">
        <v>465</v>
      </c>
      <c r="E66" s="15" t="s">
        <v>402</v>
      </c>
      <c r="F66" s="20"/>
      <c r="G66" s="16" t="s">
        <v>125</v>
      </c>
      <c r="H66" s="15" t="s">
        <v>466</v>
      </c>
      <c r="I66" s="15" t="s">
        <v>467</v>
      </c>
      <c r="J66" s="15" t="s">
        <v>468</v>
      </c>
      <c r="K66" s="18" t="s">
        <v>469</v>
      </c>
    </row>
    <row r="67" spans="1:11" x14ac:dyDescent="0.2">
      <c r="A67" s="15" t="s">
        <v>894</v>
      </c>
      <c r="B67" s="15" t="s">
        <v>470</v>
      </c>
      <c r="C67" s="15" t="s">
        <v>471</v>
      </c>
      <c r="D67" s="15" t="s">
        <v>472</v>
      </c>
      <c r="E67" s="15" t="s">
        <v>394</v>
      </c>
      <c r="F67" s="20"/>
      <c r="G67" s="16" t="s">
        <v>125</v>
      </c>
      <c r="H67" s="15" t="s">
        <v>473</v>
      </c>
      <c r="I67" s="15" t="s">
        <v>474</v>
      </c>
      <c r="J67" s="15" t="s">
        <v>475</v>
      </c>
      <c r="K67" s="18" t="s">
        <v>476</v>
      </c>
    </row>
    <row r="68" spans="1:11" x14ac:dyDescent="0.2">
      <c r="A68" s="15" t="s">
        <v>894</v>
      </c>
      <c r="B68" s="15" t="s">
        <v>477</v>
      </c>
      <c r="C68" s="15" t="s">
        <v>478</v>
      </c>
      <c r="D68" s="15" t="s">
        <v>479</v>
      </c>
      <c r="E68" s="15" t="s">
        <v>394</v>
      </c>
      <c r="F68" s="20"/>
      <c r="G68" s="16" t="s">
        <v>125</v>
      </c>
      <c r="H68" s="15" t="s">
        <v>480</v>
      </c>
      <c r="I68" s="15" t="s">
        <v>481</v>
      </c>
      <c r="J68" s="15" t="s">
        <v>482</v>
      </c>
      <c r="K68" s="18" t="s">
        <v>483</v>
      </c>
    </row>
    <row r="69" spans="1:11" x14ac:dyDescent="0.2">
      <c r="A69" s="15" t="s">
        <v>894</v>
      </c>
      <c r="B69" s="15" t="s">
        <v>484</v>
      </c>
      <c r="C69" s="15" t="s">
        <v>485</v>
      </c>
      <c r="D69" s="15" t="s">
        <v>486</v>
      </c>
      <c r="E69" s="15" t="s">
        <v>394</v>
      </c>
      <c r="F69" s="20"/>
      <c r="G69" s="16" t="s">
        <v>125</v>
      </c>
      <c r="H69" s="15" t="s">
        <v>487</v>
      </c>
      <c r="I69" s="15" t="s">
        <v>488</v>
      </c>
      <c r="J69" s="15" t="s">
        <v>489</v>
      </c>
      <c r="K69" s="18" t="s">
        <v>490</v>
      </c>
    </row>
    <row r="70" spans="1:11" x14ac:dyDescent="0.2">
      <c r="A70" s="15" t="s">
        <v>894</v>
      </c>
      <c r="B70" s="15" t="s">
        <v>491</v>
      </c>
      <c r="C70" s="15" t="s">
        <v>492</v>
      </c>
      <c r="D70" s="15" t="s">
        <v>493</v>
      </c>
      <c r="E70" s="15" t="s">
        <v>365</v>
      </c>
      <c r="F70" s="20"/>
      <c r="G70" s="16" t="s">
        <v>494</v>
      </c>
      <c r="H70" s="15" t="s">
        <v>495</v>
      </c>
      <c r="I70" s="15" t="s">
        <v>496</v>
      </c>
      <c r="J70" s="15" t="s">
        <v>497</v>
      </c>
      <c r="K70" s="18" t="s">
        <v>498</v>
      </c>
    </row>
    <row r="71" spans="1:11" x14ac:dyDescent="0.2">
      <c r="A71" s="15" t="s">
        <v>894</v>
      </c>
      <c r="B71" s="15" t="s">
        <v>499</v>
      </c>
      <c r="C71" s="15" t="s">
        <v>500</v>
      </c>
      <c r="D71" s="15" t="s">
        <v>501</v>
      </c>
      <c r="E71" s="15" t="s">
        <v>365</v>
      </c>
      <c r="F71" s="20"/>
      <c r="G71" s="16" t="s">
        <v>494</v>
      </c>
      <c r="H71" s="15" t="s">
        <v>502</v>
      </c>
      <c r="I71" s="15" t="s">
        <v>503</v>
      </c>
      <c r="J71" s="15" t="s">
        <v>504</v>
      </c>
      <c r="K71" s="18" t="s">
        <v>505</v>
      </c>
    </row>
    <row r="72" spans="1:11" x14ac:dyDescent="0.2">
      <c r="A72" s="15" t="s">
        <v>894</v>
      </c>
      <c r="B72" s="15" t="s">
        <v>506</v>
      </c>
      <c r="C72" s="15" t="s">
        <v>507</v>
      </c>
      <c r="D72" s="15" t="s">
        <v>508</v>
      </c>
      <c r="E72" s="15" t="s">
        <v>394</v>
      </c>
      <c r="F72" s="20"/>
      <c r="G72" s="16" t="s">
        <v>494</v>
      </c>
      <c r="H72" s="15" t="s">
        <v>509</v>
      </c>
      <c r="I72" s="15" t="s">
        <v>511</v>
      </c>
      <c r="J72" s="15" t="s">
        <v>512</v>
      </c>
      <c r="K72" s="18" t="s">
        <v>513</v>
      </c>
    </row>
    <row r="73" spans="1:11" x14ac:dyDescent="0.2">
      <c r="A73" s="15" t="s">
        <v>894</v>
      </c>
      <c r="B73" s="15" t="s">
        <v>514</v>
      </c>
      <c r="C73" s="15" t="s">
        <v>515</v>
      </c>
      <c r="D73" s="15" t="s">
        <v>516</v>
      </c>
      <c r="E73" s="15" t="s">
        <v>365</v>
      </c>
      <c r="F73" s="20"/>
      <c r="G73" s="16" t="s">
        <v>494</v>
      </c>
      <c r="H73" s="15" t="s">
        <v>517</v>
      </c>
      <c r="I73" s="15" t="s">
        <v>518</v>
      </c>
      <c r="J73" s="15" t="s">
        <v>519</v>
      </c>
      <c r="K73" s="18" t="s">
        <v>520</v>
      </c>
    </row>
    <row r="74" spans="1:11" x14ac:dyDescent="0.2">
      <c r="A74" s="15" t="s">
        <v>894</v>
      </c>
      <c r="B74" s="15" t="s">
        <v>521</v>
      </c>
      <c r="C74" s="15" t="s">
        <v>522</v>
      </c>
      <c r="D74" s="15" t="s">
        <v>523</v>
      </c>
      <c r="E74" s="15" t="s">
        <v>365</v>
      </c>
      <c r="F74" s="20"/>
      <c r="G74" s="16" t="s">
        <v>494</v>
      </c>
      <c r="H74" s="15" t="s">
        <v>524</v>
      </c>
      <c r="I74" s="15" t="s">
        <v>525</v>
      </c>
      <c r="J74" s="15" t="s">
        <v>526</v>
      </c>
      <c r="K74" s="18" t="s">
        <v>527</v>
      </c>
    </row>
    <row r="75" spans="1:11" x14ac:dyDescent="0.2">
      <c r="A75" s="15" t="s">
        <v>894</v>
      </c>
      <c r="B75" s="15" t="s">
        <v>528</v>
      </c>
      <c r="C75" s="15" t="s">
        <v>529</v>
      </c>
      <c r="D75" s="15" t="s">
        <v>530</v>
      </c>
      <c r="E75" s="15" t="s">
        <v>402</v>
      </c>
      <c r="F75" s="20"/>
      <c r="G75" s="16" t="s">
        <v>494</v>
      </c>
      <c r="H75" s="15" t="s">
        <v>531</v>
      </c>
      <c r="I75" s="15" t="s">
        <v>532</v>
      </c>
      <c r="J75" s="15" t="s">
        <v>533</v>
      </c>
      <c r="K75" s="18" t="s">
        <v>534</v>
      </c>
    </row>
    <row r="76" spans="1:11" x14ac:dyDescent="0.2">
      <c r="A76" s="15" t="s">
        <v>894</v>
      </c>
      <c r="B76" s="15" t="s">
        <v>535</v>
      </c>
      <c r="C76" s="15" t="s">
        <v>536</v>
      </c>
      <c r="D76" s="15" t="s">
        <v>537</v>
      </c>
      <c r="E76" s="15" t="s">
        <v>394</v>
      </c>
      <c r="F76" s="20"/>
      <c r="G76" s="16" t="s">
        <v>494</v>
      </c>
      <c r="H76" s="15" t="s">
        <v>538</v>
      </c>
      <c r="I76" s="15" t="s">
        <v>539</v>
      </c>
      <c r="J76" s="15" t="s">
        <v>540</v>
      </c>
      <c r="K76" s="18" t="s">
        <v>541</v>
      </c>
    </row>
    <row r="77" spans="1:11" x14ac:dyDescent="0.2">
      <c r="A77" s="15" t="s">
        <v>894</v>
      </c>
      <c r="B77" s="15" t="s">
        <v>542</v>
      </c>
      <c r="C77" s="15" t="s">
        <v>543</v>
      </c>
      <c r="D77" s="15" t="s">
        <v>544</v>
      </c>
      <c r="E77" s="15" t="s">
        <v>394</v>
      </c>
      <c r="F77" s="20"/>
      <c r="G77" s="16" t="s">
        <v>494</v>
      </c>
      <c r="H77" s="15" t="s">
        <v>545</v>
      </c>
      <c r="I77" s="15" t="s">
        <v>546</v>
      </c>
      <c r="J77" s="15" t="s">
        <v>547</v>
      </c>
      <c r="K77" s="18" t="s">
        <v>548</v>
      </c>
    </row>
    <row r="78" spans="1:11" x14ac:dyDescent="0.2">
      <c r="A78" s="15" t="s">
        <v>894</v>
      </c>
      <c r="B78" s="15" t="s">
        <v>549</v>
      </c>
      <c r="C78" s="15" t="s">
        <v>550</v>
      </c>
      <c r="D78" s="15" t="s">
        <v>551</v>
      </c>
      <c r="E78" s="15" t="s">
        <v>394</v>
      </c>
      <c r="F78" s="20"/>
      <c r="G78" s="16" t="s">
        <v>494</v>
      </c>
      <c r="H78" s="15" t="s">
        <v>552</v>
      </c>
      <c r="I78" s="15" t="s">
        <v>553</v>
      </c>
      <c r="J78" s="15" t="s">
        <v>554</v>
      </c>
      <c r="K78" s="18" t="s">
        <v>555</v>
      </c>
    </row>
    <row r="79" spans="1:11" x14ac:dyDescent="0.2">
      <c r="A79" s="15" t="s">
        <v>894</v>
      </c>
      <c r="B79" s="15" t="s">
        <v>556</v>
      </c>
      <c r="C79" s="15" t="s">
        <v>557</v>
      </c>
      <c r="D79" s="15" t="s">
        <v>558</v>
      </c>
      <c r="E79" s="15" t="s">
        <v>394</v>
      </c>
      <c r="F79" s="20"/>
      <c r="G79" s="16" t="s">
        <v>494</v>
      </c>
      <c r="H79" s="15" t="s">
        <v>559</v>
      </c>
      <c r="I79" s="15" t="s">
        <v>560</v>
      </c>
      <c r="J79" s="15" t="s">
        <v>561</v>
      </c>
      <c r="K79" s="18" t="s">
        <v>562</v>
      </c>
    </row>
    <row r="80" spans="1:11" x14ac:dyDescent="0.2">
      <c r="A80" s="15" t="s">
        <v>894</v>
      </c>
      <c r="B80" s="15" t="s">
        <v>563</v>
      </c>
      <c r="C80" s="15" t="s">
        <v>564</v>
      </c>
      <c r="D80" s="15" t="s">
        <v>565</v>
      </c>
      <c r="E80" s="15" t="s">
        <v>365</v>
      </c>
      <c r="F80" s="20"/>
      <c r="G80" s="16" t="s">
        <v>494</v>
      </c>
      <c r="H80" s="15" t="s">
        <v>566</v>
      </c>
      <c r="I80" s="15" t="s">
        <v>567</v>
      </c>
      <c r="J80" s="15" t="s">
        <v>568</v>
      </c>
      <c r="K80" s="18" t="s">
        <v>569</v>
      </c>
    </row>
    <row r="81" spans="1:11" x14ac:dyDescent="0.2">
      <c r="A81" s="15" t="s">
        <v>894</v>
      </c>
      <c r="B81" s="15" t="s">
        <v>570</v>
      </c>
      <c r="C81" s="15" t="s">
        <v>571</v>
      </c>
      <c r="D81" s="15" t="s">
        <v>572</v>
      </c>
      <c r="E81" s="15" t="s">
        <v>365</v>
      </c>
      <c r="F81" s="20"/>
      <c r="G81" s="16" t="s">
        <v>494</v>
      </c>
      <c r="H81" s="15" t="s">
        <v>573</v>
      </c>
      <c r="I81" s="15" t="s">
        <v>574</v>
      </c>
      <c r="J81" s="15" t="s">
        <v>575</v>
      </c>
      <c r="K81" s="18" t="s">
        <v>576</v>
      </c>
    </row>
    <row r="82" spans="1:11" x14ac:dyDescent="0.2">
      <c r="A82" s="15" t="s">
        <v>894</v>
      </c>
      <c r="B82" s="15" t="s">
        <v>577</v>
      </c>
      <c r="C82" s="15" t="s">
        <v>578</v>
      </c>
      <c r="D82" s="15" t="s">
        <v>579</v>
      </c>
      <c r="E82" s="15" t="s">
        <v>394</v>
      </c>
      <c r="F82" s="20"/>
      <c r="G82" s="16" t="s">
        <v>494</v>
      </c>
      <c r="H82" s="15" t="s">
        <v>580</v>
      </c>
      <c r="I82" s="15" t="s">
        <v>581</v>
      </c>
      <c r="J82" s="15" t="s">
        <v>582</v>
      </c>
      <c r="K82" s="18" t="s">
        <v>583</v>
      </c>
    </row>
    <row r="83" spans="1:11" x14ac:dyDescent="0.2">
      <c r="A83" s="15" t="s">
        <v>894</v>
      </c>
      <c r="B83" s="15" t="s">
        <v>584</v>
      </c>
      <c r="C83" s="15" t="s">
        <v>585</v>
      </c>
      <c r="D83" s="15" t="s">
        <v>586</v>
      </c>
      <c r="E83" s="15" t="s">
        <v>402</v>
      </c>
      <c r="F83" s="20"/>
      <c r="G83" s="16" t="s">
        <v>494</v>
      </c>
      <c r="H83" s="15" t="s">
        <v>587</v>
      </c>
      <c r="I83" s="15" t="s">
        <v>588</v>
      </c>
      <c r="J83" s="15" t="s">
        <v>589</v>
      </c>
      <c r="K83" s="18" t="s">
        <v>590</v>
      </c>
    </row>
    <row r="84" spans="1:11" x14ac:dyDescent="0.2">
      <c r="A84" s="15" t="s">
        <v>894</v>
      </c>
      <c r="B84" s="15" t="s">
        <v>591</v>
      </c>
      <c r="C84" s="15" t="s">
        <v>592</v>
      </c>
      <c r="D84" s="15" t="s">
        <v>593</v>
      </c>
      <c r="E84" s="15" t="s">
        <v>365</v>
      </c>
      <c r="F84" s="20"/>
      <c r="G84" s="16" t="s">
        <v>494</v>
      </c>
      <c r="H84" s="15" t="s">
        <v>594</v>
      </c>
      <c r="I84" s="15" t="s">
        <v>595</v>
      </c>
      <c r="J84" s="15" t="s">
        <v>596</v>
      </c>
      <c r="K84" s="18" t="s">
        <v>597</v>
      </c>
    </row>
    <row r="85" spans="1:11" x14ac:dyDescent="0.2">
      <c r="A85" s="15" t="s">
        <v>894</v>
      </c>
      <c r="B85" s="15" t="s">
        <v>598</v>
      </c>
      <c r="C85" s="15" t="s">
        <v>599</v>
      </c>
      <c r="D85" s="15" t="s">
        <v>600</v>
      </c>
      <c r="E85" s="15" t="s">
        <v>365</v>
      </c>
      <c r="F85" s="20"/>
      <c r="G85" s="16" t="s">
        <v>494</v>
      </c>
      <c r="H85" s="15" t="s">
        <v>601</v>
      </c>
      <c r="I85" s="15" t="s">
        <v>602</v>
      </c>
      <c r="J85" s="15" t="s">
        <v>603</v>
      </c>
      <c r="K85" s="18" t="s">
        <v>604</v>
      </c>
    </row>
    <row r="86" spans="1:11" x14ac:dyDescent="0.2">
      <c r="A86" s="15" t="s">
        <v>894</v>
      </c>
      <c r="B86" s="15" t="s">
        <v>605</v>
      </c>
      <c r="C86" s="15" t="s">
        <v>606</v>
      </c>
      <c r="D86" s="15" t="s">
        <v>607</v>
      </c>
      <c r="E86" s="15" t="s">
        <v>365</v>
      </c>
      <c r="F86" s="20"/>
      <c r="G86" s="16" t="s">
        <v>494</v>
      </c>
      <c r="H86" s="15" t="s">
        <v>608</v>
      </c>
      <c r="I86" s="15" t="s">
        <v>609</v>
      </c>
      <c r="J86" s="15" t="s">
        <v>609</v>
      </c>
      <c r="K86" s="18" t="s">
        <v>610</v>
      </c>
    </row>
    <row r="87" spans="1:11" x14ac:dyDescent="0.2">
      <c r="A87" s="15" t="s">
        <v>894</v>
      </c>
      <c r="B87" s="15" t="s">
        <v>611</v>
      </c>
      <c r="C87" s="15" t="s">
        <v>612</v>
      </c>
      <c r="D87" s="15" t="s">
        <v>613</v>
      </c>
      <c r="E87" s="15" t="s">
        <v>365</v>
      </c>
      <c r="F87" s="20"/>
      <c r="G87" s="16" t="s">
        <v>494</v>
      </c>
      <c r="H87" s="15" t="s">
        <v>614</v>
      </c>
      <c r="I87" s="15" t="s">
        <v>615</v>
      </c>
      <c r="J87" s="15" t="s">
        <v>616</v>
      </c>
      <c r="K87" s="18" t="s">
        <v>617</v>
      </c>
    </row>
    <row r="88" spans="1:11" x14ac:dyDescent="0.2">
      <c r="A88" s="15" t="s">
        <v>894</v>
      </c>
      <c r="B88" s="15" t="s">
        <v>618</v>
      </c>
      <c r="C88" s="15" t="s">
        <v>619</v>
      </c>
      <c r="D88" s="15" t="s">
        <v>620</v>
      </c>
      <c r="E88" s="15" t="s">
        <v>365</v>
      </c>
      <c r="F88" s="20"/>
      <c r="G88" s="16" t="s">
        <v>494</v>
      </c>
      <c r="H88" s="15" t="s">
        <v>621</v>
      </c>
      <c r="I88" s="15" t="s">
        <v>622</v>
      </c>
      <c r="J88" s="15" t="s">
        <v>623</v>
      </c>
      <c r="K88" s="18" t="s">
        <v>624</v>
      </c>
    </row>
    <row r="89" spans="1:11" x14ac:dyDescent="0.2">
      <c r="A89" s="15" t="s">
        <v>894</v>
      </c>
      <c r="B89" s="15" t="s">
        <v>625</v>
      </c>
      <c r="C89" s="15" t="s">
        <v>626</v>
      </c>
      <c r="D89" s="15" t="s">
        <v>627</v>
      </c>
      <c r="E89" s="15" t="s">
        <v>365</v>
      </c>
      <c r="F89" s="20"/>
      <c r="G89" s="16" t="s">
        <v>494</v>
      </c>
      <c r="H89" s="15" t="s">
        <v>628</v>
      </c>
      <c r="I89" s="15" t="s">
        <v>629</v>
      </c>
      <c r="J89" s="15" t="s">
        <v>630</v>
      </c>
      <c r="K89" s="18" t="s">
        <v>631</v>
      </c>
    </row>
    <row r="90" spans="1:11" x14ac:dyDescent="0.2">
      <c r="A90" s="15" t="s">
        <v>894</v>
      </c>
      <c r="B90" s="15" t="s">
        <v>632</v>
      </c>
      <c r="C90" s="15" t="s">
        <v>633</v>
      </c>
      <c r="D90" s="15" t="s">
        <v>634</v>
      </c>
      <c r="E90" s="15" t="s">
        <v>402</v>
      </c>
      <c r="F90" s="20"/>
      <c r="G90" s="16" t="s">
        <v>494</v>
      </c>
      <c r="H90" s="15" t="s">
        <v>635</v>
      </c>
      <c r="I90" s="15" t="s">
        <v>636</v>
      </c>
      <c r="J90" s="15" t="s">
        <v>637</v>
      </c>
      <c r="K90" s="18" t="s">
        <v>638</v>
      </c>
    </row>
    <row r="91" spans="1:11" x14ac:dyDescent="0.2">
      <c r="A91" s="15" t="s">
        <v>892</v>
      </c>
      <c r="B91" s="15" t="s">
        <v>639</v>
      </c>
      <c r="C91" s="15" t="s">
        <v>640</v>
      </c>
      <c r="D91" s="3"/>
      <c r="E91" s="3"/>
      <c r="G91" s="16" t="s">
        <v>494</v>
      </c>
      <c r="H91" s="15" t="s">
        <v>641</v>
      </c>
      <c r="I91" s="15" t="s">
        <v>642</v>
      </c>
      <c r="J91" s="15" t="s">
        <v>643</v>
      </c>
      <c r="K91" s="18" t="s">
        <v>644</v>
      </c>
    </row>
    <row r="92" spans="1:11" x14ac:dyDescent="0.2">
      <c r="A92" s="15" t="s">
        <v>892</v>
      </c>
      <c r="B92" s="15" t="s">
        <v>645</v>
      </c>
      <c r="C92" s="15" t="s">
        <v>646</v>
      </c>
      <c r="D92" s="3"/>
      <c r="E92" s="3"/>
      <c r="G92" s="16" t="s">
        <v>494</v>
      </c>
      <c r="H92" s="15" t="s">
        <v>647</v>
      </c>
      <c r="I92" s="15" t="s">
        <v>648</v>
      </c>
      <c r="J92" s="15" t="s">
        <v>649</v>
      </c>
      <c r="K92" s="18" t="s">
        <v>650</v>
      </c>
    </row>
    <row r="93" spans="1:11" x14ac:dyDescent="0.2">
      <c r="A93" s="15" t="s">
        <v>892</v>
      </c>
      <c r="B93" s="15" t="s">
        <v>651</v>
      </c>
      <c r="C93" s="15" t="s">
        <v>652</v>
      </c>
      <c r="D93" s="3"/>
      <c r="E93" s="3"/>
      <c r="G93" s="16" t="s">
        <v>494</v>
      </c>
      <c r="H93" s="15" t="s">
        <v>653</v>
      </c>
      <c r="I93" s="15" t="s">
        <v>654</v>
      </c>
      <c r="J93" s="15" t="s">
        <v>655</v>
      </c>
      <c r="K93" s="18" t="s">
        <v>656</v>
      </c>
    </row>
    <row r="94" spans="1:11" x14ac:dyDescent="0.2">
      <c r="A94" s="15" t="s">
        <v>892</v>
      </c>
      <c r="B94" s="15" t="s">
        <v>657</v>
      </c>
      <c r="C94" s="15" t="s">
        <v>658</v>
      </c>
      <c r="D94" s="3"/>
      <c r="E94" s="3"/>
      <c r="G94" s="16" t="s">
        <v>494</v>
      </c>
      <c r="H94" s="15" t="s">
        <v>659</v>
      </c>
      <c r="I94" s="15" t="s">
        <v>660</v>
      </c>
      <c r="J94" s="15" t="s">
        <v>661</v>
      </c>
      <c r="K94" s="18" t="s">
        <v>662</v>
      </c>
    </row>
    <row r="95" spans="1:11" x14ac:dyDescent="0.2">
      <c r="A95" s="15" t="s">
        <v>892</v>
      </c>
      <c r="B95" s="15" t="s">
        <v>663</v>
      </c>
      <c r="C95" s="15" t="s">
        <v>664</v>
      </c>
      <c r="D95" s="3"/>
      <c r="E95" s="3"/>
    </row>
    <row r="96" spans="1:11" x14ac:dyDescent="0.2">
      <c r="A96" s="15" t="s">
        <v>892</v>
      </c>
      <c r="B96" s="15" t="s">
        <v>665</v>
      </c>
      <c r="C96" s="15" t="s">
        <v>666</v>
      </c>
      <c r="D96" s="3"/>
      <c r="E96" s="3"/>
    </row>
    <row r="97" spans="1:5" x14ac:dyDescent="0.2">
      <c r="A97" s="15" t="s">
        <v>892</v>
      </c>
      <c r="B97" s="15" t="s">
        <v>667</v>
      </c>
      <c r="C97" s="15" t="s">
        <v>668</v>
      </c>
      <c r="D97" s="3"/>
      <c r="E97" s="3"/>
    </row>
    <row r="98" spans="1:5" x14ac:dyDescent="0.2">
      <c r="A98" s="15" t="s">
        <v>892</v>
      </c>
      <c r="B98" s="15" t="s">
        <v>669</v>
      </c>
      <c r="C98" s="15" t="s">
        <v>670</v>
      </c>
      <c r="D98" s="3"/>
      <c r="E98" s="3"/>
    </row>
    <row r="99" spans="1:5" x14ac:dyDescent="0.2">
      <c r="A99" s="15" t="s">
        <v>892</v>
      </c>
      <c r="B99" s="15" t="s">
        <v>671</v>
      </c>
      <c r="C99" s="15" t="s">
        <v>672</v>
      </c>
      <c r="D99" s="3"/>
      <c r="E99" s="3"/>
    </row>
    <row r="100" spans="1:5" x14ac:dyDescent="0.2">
      <c r="A100" s="15" t="s">
        <v>892</v>
      </c>
      <c r="B100" s="15" t="s">
        <v>673</v>
      </c>
      <c r="C100" s="15" t="s">
        <v>674</v>
      </c>
      <c r="D100" s="3"/>
      <c r="E100" s="3"/>
    </row>
    <row r="101" spans="1:5" x14ac:dyDescent="0.2">
      <c r="A101" s="15" t="s">
        <v>892</v>
      </c>
      <c r="B101" s="15" t="s">
        <v>675</v>
      </c>
      <c r="C101" s="15" t="s">
        <v>676</v>
      </c>
      <c r="D101" s="3"/>
      <c r="E101" s="3"/>
    </row>
    <row r="102" spans="1:5" x14ac:dyDescent="0.2">
      <c r="A102" s="15" t="s">
        <v>892</v>
      </c>
      <c r="B102" s="15" t="s">
        <v>677</v>
      </c>
      <c r="C102" s="15" t="s">
        <v>678</v>
      </c>
      <c r="D102" s="3"/>
      <c r="E102" s="3"/>
    </row>
    <row r="103" spans="1:5" x14ac:dyDescent="0.2">
      <c r="A103" s="15" t="s">
        <v>892</v>
      </c>
      <c r="B103" s="15" t="s">
        <v>679</v>
      </c>
      <c r="C103" s="15" t="s">
        <v>683</v>
      </c>
      <c r="D103" s="3"/>
      <c r="E103" s="3"/>
    </row>
    <row r="104" spans="1:5" x14ac:dyDescent="0.2">
      <c r="A104" s="15" t="s">
        <v>892</v>
      </c>
      <c r="B104" s="15" t="s">
        <v>684</v>
      </c>
      <c r="C104" s="15" t="s">
        <v>685</v>
      </c>
      <c r="D104" s="3"/>
      <c r="E104" s="3"/>
    </row>
    <row r="105" spans="1:5" x14ac:dyDescent="0.2">
      <c r="A105" s="15" t="s">
        <v>892</v>
      </c>
      <c r="B105" s="15" t="s">
        <v>686</v>
      </c>
      <c r="C105" s="15" t="s">
        <v>687</v>
      </c>
      <c r="D105" s="3"/>
      <c r="E105" s="3"/>
    </row>
    <row r="106" spans="1:5" x14ac:dyDescent="0.2">
      <c r="A106" s="15" t="s">
        <v>892</v>
      </c>
      <c r="B106" s="15" t="s">
        <v>688</v>
      </c>
      <c r="C106" s="15" t="s">
        <v>689</v>
      </c>
      <c r="D106" s="3"/>
      <c r="E106" s="3"/>
    </row>
    <row r="107" spans="1:5" x14ac:dyDescent="0.2">
      <c r="A107" s="15" t="s">
        <v>892</v>
      </c>
      <c r="B107" s="15" t="s">
        <v>690</v>
      </c>
      <c r="C107" s="15" t="s">
        <v>691</v>
      </c>
      <c r="D107" s="3"/>
      <c r="E107" s="3"/>
    </row>
    <row r="108" spans="1:5" x14ac:dyDescent="0.2">
      <c r="A108" s="15" t="s">
        <v>892</v>
      </c>
      <c r="B108" s="15" t="s">
        <v>692</v>
      </c>
      <c r="C108" s="15" t="s">
        <v>693</v>
      </c>
      <c r="D108" s="3"/>
      <c r="E108" s="3"/>
    </row>
    <row r="109" spans="1:5" x14ac:dyDescent="0.2">
      <c r="A109" s="15" t="s">
        <v>892</v>
      </c>
      <c r="B109" s="15" t="s">
        <v>694</v>
      </c>
      <c r="C109" s="15" t="s">
        <v>695</v>
      </c>
      <c r="D109" s="3"/>
      <c r="E109" s="3"/>
    </row>
    <row r="110" spans="1:5" x14ac:dyDescent="0.2">
      <c r="A110" s="15" t="s">
        <v>892</v>
      </c>
      <c r="B110" s="15" t="s">
        <v>696</v>
      </c>
      <c r="C110" s="15" t="s">
        <v>697</v>
      </c>
      <c r="D110" s="3"/>
      <c r="E110" s="3"/>
    </row>
    <row r="111" spans="1:5" x14ac:dyDescent="0.2">
      <c r="A111" s="15" t="s">
        <v>892</v>
      </c>
      <c r="B111" s="15" t="s">
        <v>698</v>
      </c>
      <c r="C111" s="15" t="s">
        <v>699</v>
      </c>
      <c r="D111" s="3"/>
      <c r="E111" s="3"/>
    </row>
    <row r="112" spans="1:5" x14ac:dyDescent="0.2">
      <c r="A112" s="15" t="s">
        <v>700</v>
      </c>
      <c r="B112" s="15" t="s">
        <v>701</v>
      </c>
      <c r="C112" s="15" t="s">
        <v>702</v>
      </c>
      <c r="D112" s="3"/>
      <c r="E112" s="3"/>
    </row>
    <row r="113" spans="1:5" x14ac:dyDescent="0.2">
      <c r="A113" s="15" t="s">
        <v>700</v>
      </c>
      <c r="B113" s="15" t="s">
        <v>703</v>
      </c>
      <c r="C113" s="15" t="s">
        <v>704</v>
      </c>
      <c r="D113" s="3"/>
      <c r="E113" s="3"/>
    </row>
    <row r="114" spans="1:5" x14ac:dyDescent="0.2">
      <c r="A114" s="15" t="s">
        <v>700</v>
      </c>
      <c r="B114" s="15" t="s">
        <v>705</v>
      </c>
      <c r="C114" s="15" t="s">
        <v>706</v>
      </c>
      <c r="D114" s="3"/>
      <c r="E114" s="3"/>
    </row>
    <row r="115" spans="1:5" x14ac:dyDescent="0.2">
      <c r="A115" s="15" t="s">
        <v>700</v>
      </c>
      <c r="B115" s="15" t="s">
        <v>707</v>
      </c>
      <c r="C115" s="15" t="s">
        <v>708</v>
      </c>
      <c r="D115" s="3"/>
      <c r="E115" s="3"/>
    </row>
    <row r="116" spans="1:5" x14ac:dyDescent="0.2">
      <c r="A116" s="15" t="s">
        <v>700</v>
      </c>
      <c r="B116" s="15" t="s">
        <v>709</v>
      </c>
      <c r="C116" s="15" t="s">
        <v>710</v>
      </c>
      <c r="D116" s="3"/>
      <c r="E116" s="3"/>
    </row>
    <row r="117" spans="1:5" x14ac:dyDescent="0.2">
      <c r="A117" s="15" t="s">
        <v>700</v>
      </c>
      <c r="B117" s="15" t="s">
        <v>711</v>
      </c>
      <c r="C117" s="15" t="s">
        <v>712</v>
      </c>
      <c r="D117" s="3"/>
      <c r="E117" s="3"/>
    </row>
    <row r="118" spans="1:5" x14ac:dyDescent="0.2">
      <c r="A118" s="15" t="s">
        <v>700</v>
      </c>
      <c r="B118" s="15" t="s">
        <v>713</v>
      </c>
      <c r="C118" s="15" t="s">
        <v>714</v>
      </c>
      <c r="D118" s="3"/>
      <c r="E118" s="3"/>
    </row>
    <row r="119" spans="1:5" x14ac:dyDescent="0.2">
      <c r="A119" s="15" t="s">
        <v>700</v>
      </c>
      <c r="B119" s="15" t="s">
        <v>715</v>
      </c>
      <c r="C119" s="15" t="s">
        <v>716</v>
      </c>
      <c r="D119" s="3"/>
      <c r="E119" s="3"/>
    </row>
    <row r="120" spans="1:5" x14ac:dyDescent="0.2">
      <c r="A120" s="15" t="s">
        <v>700</v>
      </c>
      <c r="B120" s="15" t="s">
        <v>717</v>
      </c>
      <c r="C120" s="15" t="s">
        <v>718</v>
      </c>
      <c r="D120" s="3"/>
      <c r="E120" s="3"/>
    </row>
    <row r="121" spans="1:5" x14ac:dyDescent="0.2">
      <c r="A121" s="15" t="s">
        <v>700</v>
      </c>
      <c r="B121" s="15" t="s">
        <v>665</v>
      </c>
      <c r="C121" s="15" t="s">
        <v>719</v>
      </c>
      <c r="D121" s="3"/>
      <c r="E121" s="3"/>
    </row>
    <row r="122" spans="1:5" x14ac:dyDescent="0.2">
      <c r="A122" s="15" t="s">
        <v>700</v>
      </c>
      <c r="B122" s="15" t="s">
        <v>720</v>
      </c>
      <c r="C122" s="15" t="s">
        <v>721</v>
      </c>
      <c r="D122" s="3"/>
      <c r="E122" s="3"/>
    </row>
    <row r="123" spans="1:5" x14ac:dyDescent="0.2">
      <c r="A123" s="15" t="s">
        <v>700</v>
      </c>
      <c r="B123" s="15" t="s">
        <v>722</v>
      </c>
      <c r="C123" s="15" t="s">
        <v>723</v>
      </c>
      <c r="D123" s="3"/>
      <c r="E123" s="3"/>
    </row>
    <row r="124" spans="1:5" x14ac:dyDescent="0.2">
      <c r="A124" s="15" t="s">
        <v>700</v>
      </c>
      <c r="B124" s="15" t="s">
        <v>724</v>
      </c>
      <c r="C124" s="15" t="s">
        <v>725</v>
      </c>
      <c r="D124" s="3"/>
      <c r="E124" s="3"/>
    </row>
    <row r="125" spans="1:5" x14ac:dyDescent="0.2">
      <c r="A125" s="15" t="s">
        <v>700</v>
      </c>
      <c r="B125" s="15" t="s">
        <v>726</v>
      </c>
      <c r="C125" s="15" t="s">
        <v>727</v>
      </c>
      <c r="D125" s="3"/>
      <c r="E125" s="3"/>
    </row>
    <row r="126" spans="1:5" x14ac:dyDescent="0.2">
      <c r="A126" s="15" t="s">
        <v>700</v>
      </c>
      <c r="B126" s="15" t="s">
        <v>728</v>
      </c>
      <c r="C126" s="15" t="s">
        <v>729</v>
      </c>
      <c r="D126" s="3"/>
      <c r="E126" s="3"/>
    </row>
    <row r="127" spans="1:5" x14ac:dyDescent="0.2">
      <c r="A127" s="15" t="s">
        <v>700</v>
      </c>
      <c r="B127" s="15" t="s">
        <v>730</v>
      </c>
      <c r="C127" s="15" t="s">
        <v>731</v>
      </c>
      <c r="D127" s="3"/>
      <c r="E127" s="3"/>
    </row>
    <row r="128" spans="1:5" x14ac:dyDescent="0.2">
      <c r="A128" s="15" t="s">
        <v>700</v>
      </c>
      <c r="B128" s="15" t="s">
        <v>732</v>
      </c>
      <c r="C128" s="15" t="s">
        <v>733</v>
      </c>
      <c r="D128" s="3"/>
      <c r="E128" s="3"/>
    </row>
    <row r="129" spans="1:5" x14ac:dyDescent="0.2">
      <c r="A129" s="15" t="s">
        <v>700</v>
      </c>
      <c r="B129" s="15" t="s">
        <v>734</v>
      </c>
      <c r="C129" s="15" t="s">
        <v>735</v>
      </c>
      <c r="D129" s="3"/>
      <c r="E129" s="3"/>
    </row>
    <row r="130" spans="1:5" x14ac:dyDescent="0.2">
      <c r="A130" s="15" t="s">
        <v>700</v>
      </c>
      <c r="B130" s="15" t="s">
        <v>736</v>
      </c>
      <c r="C130" s="15" t="s">
        <v>737</v>
      </c>
      <c r="D130" s="3"/>
      <c r="E130" s="3"/>
    </row>
    <row r="131" spans="1:5" x14ac:dyDescent="0.2">
      <c r="A131" s="15" t="s">
        <v>700</v>
      </c>
      <c r="B131" s="15" t="s">
        <v>738</v>
      </c>
      <c r="C131" s="15" t="s">
        <v>739</v>
      </c>
      <c r="D131" s="3"/>
      <c r="E131" s="3"/>
    </row>
    <row r="132" spans="1:5" x14ac:dyDescent="0.2">
      <c r="A132" s="15" t="s">
        <v>700</v>
      </c>
      <c r="B132" s="15" t="s">
        <v>740</v>
      </c>
      <c r="C132" s="15" t="s">
        <v>741</v>
      </c>
      <c r="D132" s="3"/>
      <c r="E132" s="3"/>
    </row>
    <row r="133" spans="1:5" x14ac:dyDescent="0.2">
      <c r="A133" s="15" t="s">
        <v>700</v>
      </c>
      <c r="B133" s="15" t="s">
        <v>742</v>
      </c>
      <c r="C133" s="15" t="s">
        <v>743</v>
      </c>
      <c r="D133" s="3"/>
      <c r="E133" s="3"/>
    </row>
    <row r="134" spans="1:5" x14ac:dyDescent="0.2">
      <c r="A134" s="15" t="s">
        <v>700</v>
      </c>
      <c r="B134" s="15" t="s">
        <v>744</v>
      </c>
      <c r="C134" s="15" t="s">
        <v>745</v>
      </c>
      <c r="D134" s="3"/>
      <c r="E134" s="3"/>
    </row>
    <row r="135" spans="1:5" x14ac:dyDescent="0.2">
      <c r="A135" s="15" t="s">
        <v>700</v>
      </c>
      <c r="B135" s="15" t="s">
        <v>746</v>
      </c>
      <c r="C135" s="15" t="s">
        <v>747</v>
      </c>
      <c r="D135" s="3"/>
      <c r="E135" s="3"/>
    </row>
    <row r="136" spans="1:5" x14ac:dyDescent="0.2">
      <c r="A136" s="15" t="s">
        <v>700</v>
      </c>
      <c r="B136" s="15" t="s">
        <v>748</v>
      </c>
      <c r="C136" s="15" t="s">
        <v>749</v>
      </c>
      <c r="D136" s="3"/>
      <c r="E136" s="3"/>
    </row>
    <row r="137" spans="1:5" x14ac:dyDescent="0.2">
      <c r="A137" s="15" t="s">
        <v>700</v>
      </c>
      <c r="B137" s="15" t="s">
        <v>750</v>
      </c>
      <c r="C137" s="15" t="s">
        <v>751</v>
      </c>
      <c r="D137" s="3"/>
      <c r="E137" s="3"/>
    </row>
    <row r="138" spans="1:5" x14ac:dyDescent="0.2">
      <c r="A138" s="15" t="s">
        <v>700</v>
      </c>
      <c r="B138" s="15" t="s">
        <v>752</v>
      </c>
      <c r="C138" s="15" t="s">
        <v>753</v>
      </c>
      <c r="D138" s="3"/>
      <c r="E138" s="3"/>
    </row>
    <row r="139" spans="1:5" x14ac:dyDescent="0.2">
      <c r="A139" s="15" t="s">
        <v>700</v>
      </c>
      <c r="B139" s="15" t="s">
        <v>754</v>
      </c>
      <c r="C139" s="15" t="s">
        <v>755</v>
      </c>
      <c r="D139" s="3"/>
      <c r="E139" s="3"/>
    </row>
    <row r="140" spans="1:5" x14ac:dyDescent="0.2">
      <c r="A140" s="15" t="s">
        <v>700</v>
      </c>
      <c r="B140" s="15" t="s">
        <v>692</v>
      </c>
      <c r="C140" s="15" t="s">
        <v>756</v>
      </c>
      <c r="D140" s="3"/>
      <c r="E140" s="3"/>
    </row>
    <row r="141" spans="1:5" x14ac:dyDescent="0.2">
      <c r="A141" s="15" t="s">
        <v>700</v>
      </c>
      <c r="B141" s="15" t="s">
        <v>694</v>
      </c>
      <c r="C141" s="15" t="s">
        <v>757</v>
      </c>
      <c r="D141" s="3"/>
      <c r="E141" s="3"/>
    </row>
    <row r="142" spans="1:5" ht="13.5" x14ac:dyDescent="0.25">
      <c r="A142" s="21" t="s">
        <v>895</v>
      </c>
      <c r="B142" s="22" t="s">
        <v>758</v>
      </c>
      <c r="C142" s="23" t="s">
        <v>759</v>
      </c>
      <c r="D142" s="23" t="s">
        <v>760</v>
      </c>
      <c r="E142" s="3"/>
    </row>
    <row r="143" spans="1:5" ht="13.5" x14ac:dyDescent="0.25">
      <c r="A143" s="21" t="s">
        <v>895</v>
      </c>
      <c r="B143" s="22" t="s">
        <v>761</v>
      </c>
      <c r="C143" s="23" t="s">
        <v>762</v>
      </c>
      <c r="D143" s="23" t="s">
        <v>763</v>
      </c>
      <c r="E143" s="3"/>
    </row>
    <row r="144" spans="1:5" ht="13.5" x14ac:dyDescent="0.25">
      <c r="A144" s="21" t="s">
        <v>895</v>
      </c>
      <c r="B144" s="22" t="s">
        <v>764</v>
      </c>
      <c r="C144" s="23" t="s">
        <v>765</v>
      </c>
      <c r="D144" s="23" t="s">
        <v>766</v>
      </c>
      <c r="E144" s="3"/>
    </row>
    <row r="145" spans="1:5" ht="13.5" x14ac:dyDescent="0.25">
      <c r="A145" s="21" t="s">
        <v>895</v>
      </c>
      <c r="B145" s="22" t="s">
        <v>767</v>
      </c>
      <c r="C145" s="23" t="s">
        <v>768</v>
      </c>
      <c r="D145" s="23" t="s">
        <v>769</v>
      </c>
      <c r="E145" s="3"/>
    </row>
    <row r="146" spans="1:5" ht="13.5" x14ac:dyDescent="0.25">
      <c r="A146" s="21" t="s">
        <v>895</v>
      </c>
      <c r="B146" s="22" t="s">
        <v>770</v>
      </c>
      <c r="C146" s="23" t="s">
        <v>771</v>
      </c>
      <c r="D146" s="23" t="s">
        <v>772</v>
      </c>
      <c r="E146" s="3"/>
    </row>
    <row r="147" spans="1:5" ht="13.5" x14ac:dyDescent="0.25">
      <c r="A147" s="21" t="s">
        <v>895</v>
      </c>
      <c r="B147" s="22" t="s">
        <v>773</v>
      </c>
      <c r="C147" s="23" t="s">
        <v>774</v>
      </c>
      <c r="D147" s="23" t="s">
        <v>775</v>
      </c>
      <c r="E147" s="3"/>
    </row>
    <row r="148" spans="1:5" ht="13.5" x14ac:dyDescent="0.25">
      <c r="A148" s="21" t="s">
        <v>895</v>
      </c>
      <c r="B148" s="22" t="s">
        <v>776</v>
      </c>
      <c r="C148" s="23" t="s">
        <v>777</v>
      </c>
      <c r="D148" s="23" t="s">
        <v>778</v>
      </c>
      <c r="E148" s="3"/>
    </row>
    <row r="149" spans="1:5" ht="13.5" x14ac:dyDescent="0.25">
      <c r="A149" s="21" t="s">
        <v>895</v>
      </c>
      <c r="B149" s="22" t="s">
        <v>779</v>
      </c>
      <c r="C149" s="23" t="s">
        <v>780</v>
      </c>
      <c r="D149" s="23" t="s">
        <v>781</v>
      </c>
      <c r="E149" s="3"/>
    </row>
    <row r="150" spans="1:5" ht="13.5" x14ac:dyDescent="0.25">
      <c r="A150" s="21" t="s">
        <v>895</v>
      </c>
      <c r="B150" s="22" t="s">
        <v>782</v>
      </c>
      <c r="C150" s="23" t="s">
        <v>783</v>
      </c>
      <c r="D150" s="23" t="s">
        <v>784</v>
      </c>
      <c r="E150" s="3"/>
    </row>
    <row r="151" spans="1:5" ht="13.5" x14ac:dyDescent="0.25">
      <c r="A151" s="21" t="s">
        <v>895</v>
      </c>
      <c r="B151" s="22" t="s">
        <v>785</v>
      </c>
      <c r="C151" s="23" t="s">
        <v>786</v>
      </c>
      <c r="D151" s="23" t="s">
        <v>787</v>
      </c>
      <c r="E151" s="3"/>
    </row>
    <row r="152" spans="1:5" ht="13.5" x14ac:dyDescent="0.25">
      <c r="A152" s="21" t="s">
        <v>895</v>
      </c>
      <c r="B152" s="22" t="s">
        <v>788</v>
      </c>
      <c r="C152" s="23" t="s">
        <v>789</v>
      </c>
      <c r="D152" s="23" t="s">
        <v>790</v>
      </c>
      <c r="E152" s="3"/>
    </row>
    <row r="153" spans="1:5" ht="13.5" x14ac:dyDescent="0.25">
      <c r="A153" s="21" t="s">
        <v>895</v>
      </c>
      <c r="B153" s="22" t="s">
        <v>791</v>
      </c>
      <c r="C153" s="23" t="s">
        <v>792</v>
      </c>
      <c r="D153" s="23" t="s">
        <v>793</v>
      </c>
      <c r="E153" s="3"/>
    </row>
    <row r="154" spans="1:5" ht="13.5" x14ac:dyDescent="0.25">
      <c r="A154" s="21" t="s">
        <v>895</v>
      </c>
      <c r="B154" s="22" t="s">
        <v>794</v>
      </c>
      <c r="C154" s="23" t="s">
        <v>795</v>
      </c>
      <c r="D154" s="23" t="s">
        <v>796</v>
      </c>
      <c r="E154" s="3"/>
    </row>
    <row r="155" spans="1:5" ht="13.5" x14ac:dyDescent="0.25">
      <c r="A155" s="21" t="s">
        <v>895</v>
      </c>
      <c r="B155" s="22" t="s">
        <v>797</v>
      </c>
      <c r="C155" s="23" t="s">
        <v>798</v>
      </c>
      <c r="D155" s="23" t="s">
        <v>799</v>
      </c>
      <c r="E155" s="3"/>
    </row>
    <row r="156" spans="1:5" ht="13.5" x14ac:dyDescent="0.25">
      <c r="A156" s="21" t="s">
        <v>895</v>
      </c>
      <c r="B156" s="22" t="s">
        <v>800</v>
      </c>
      <c r="C156" s="23" t="s">
        <v>801</v>
      </c>
      <c r="D156" s="23" t="s">
        <v>802</v>
      </c>
      <c r="E156" s="3"/>
    </row>
    <row r="157" spans="1:5" ht="13.5" x14ac:dyDescent="0.25">
      <c r="A157" s="21" t="s">
        <v>895</v>
      </c>
      <c r="B157" s="22" t="s">
        <v>803</v>
      </c>
      <c r="C157" s="23" t="s">
        <v>804</v>
      </c>
      <c r="D157" s="23" t="s">
        <v>805</v>
      </c>
      <c r="E157" s="3"/>
    </row>
    <row r="158" spans="1:5" ht="13.5" x14ac:dyDescent="0.25">
      <c r="A158" s="21" t="s">
        <v>895</v>
      </c>
      <c r="B158" s="22" t="s">
        <v>806</v>
      </c>
      <c r="C158" s="23" t="s">
        <v>807</v>
      </c>
      <c r="D158" s="23" t="s">
        <v>808</v>
      </c>
      <c r="E158" s="3"/>
    </row>
    <row r="159" spans="1:5" ht="13.5" x14ac:dyDescent="0.25">
      <c r="A159" s="21" t="s">
        <v>895</v>
      </c>
      <c r="B159" s="22" t="s">
        <v>809</v>
      </c>
      <c r="C159" s="23" t="s">
        <v>810</v>
      </c>
      <c r="D159" s="23" t="s">
        <v>811</v>
      </c>
      <c r="E159" s="3"/>
    </row>
    <row r="160" spans="1:5" ht="13.5" x14ac:dyDescent="0.25">
      <c r="A160" s="21" t="s">
        <v>895</v>
      </c>
      <c r="B160" s="22" t="s">
        <v>812</v>
      </c>
      <c r="C160" s="23" t="s">
        <v>813</v>
      </c>
      <c r="D160" s="23" t="s">
        <v>814</v>
      </c>
      <c r="E160" s="3"/>
    </row>
    <row r="161" spans="1:5" ht="13.5" x14ac:dyDescent="0.25">
      <c r="A161" s="21" t="s">
        <v>895</v>
      </c>
      <c r="B161" s="22" t="s">
        <v>815</v>
      </c>
      <c r="C161" s="23" t="s">
        <v>816</v>
      </c>
      <c r="D161" s="23" t="s">
        <v>817</v>
      </c>
      <c r="E161" s="3"/>
    </row>
    <row r="162" spans="1:5" ht="13.5" x14ac:dyDescent="0.25">
      <c r="A162" s="21" t="s">
        <v>895</v>
      </c>
      <c r="B162" s="22" t="s">
        <v>818</v>
      </c>
      <c r="C162" s="23" t="s">
        <v>819</v>
      </c>
      <c r="D162" s="23" t="s">
        <v>820</v>
      </c>
      <c r="E162" s="3"/>
    </row>
    <row r="163" spans="1:5" ht="13.5" x14ac:dyDescent="0.25">
      <c r="A163" s="21" t="s">
        <v>895</v>
      </c>
      <c r="B163" s="22" t="s">
        <v>821</v>
      </c>
      <c r="C163" s="23" t="s">
        <v>822</v>
      </c>
      <c r="D163" s="23" t="s">
        <v>823</v>
      </c>
      <c r="E163" s="3"/>
    </row>
    <row r="164" spans="1:5" ht="13.5" x14ac:dyDescent="0.25">
      <c r="A164" s="21" t="s">
        <v>895</v>
      </c>
      <c r="B164" s="22" t="s">
        <v>824</v>
      </c>
      <c r="C164" s="23" t="s">
        <v>825</v>
      </c>
      <c r="D164" s="23" t="s">
        <v>826</v>
      </c>
      <c r="E164" s="3"/>
    </row>
    <row r="165" spans="1:5" ht="13.5" x14ac:dyDescent="0.25">
      <c r="A165" s="21" t="s">
        <v>895</v>
      </c>
      <c r="B165" s="22" t="s">
        <v>827</v>
      </c>
      <c r="C165" s="23" t="s">
        <v>828</v>
      </c>
      <c r="D165" s="23" t="s">
        <v>829</v>
      </c>
      <c r="E165" s="3"/>
    </row>
    <row r="166" spans="1:5" ht="13.5" x14ac:dyDescent="0.25">
      <c r="A166" s="21" t="s">
        <v>895</v>
      </c>
      <c r="B166" s="22" t="s">
        <v>830</v>
      </c>
      <c r="C166" s="23" t="s">
        <v>831</v>
      </c>
      <c r="D166" s="23" t="s">
        <v>832</v>
      </c>
      <c r="E166" s="3"/>
    </row>
  </sheetData>
  <sheetProtection password="CC55" sheet="1" objects="1" scenarios="1"/>
  <phoneticPr fontId="4" type="noConversion"/>
  <hyperlinks>
    <hyperlink ref="H1" location="ReadMe!A1" display="BACK" xr:uid="{00000000-0004-0000-0F00-000000000000}"/>
  </hyperlinks>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G16"/>
  <sheetViews>
    <sheetView workbookViewId="0">
      <selection activeCell="F2" sqref="F2"/>
    </sheetView>
  </sheetViews>
  <sheetFormatPr defaultColWidth="9.140625" defaultRowHeight="12.75" x14ac:dyDescent="0.2"/>
  <cols>
    <col min="1" max="1" width="9.140625" style="1"/>
    <col min="2" max="2" width="32.28515625" style="1" bestFit="1" customWidth="1"/>
    <col min="3" max="3" width="56.85546875" style="1" bestFit="1" customWidth="1"/>
    <col min="4" max="16384" width="9.140625" style="1"/>
  </cols>
  <sheetData>
    <row r="1" spans="1:7" x14ac:dyDescent="0.2">
      <c r="A1" s="10" t="s">
        <v>861</v>
      </c>
      <c r="B1" s="10" t="s">
        <v>862</v>
      </c>
      <c r="C1" s="10" t="s">
        <v>863</v>
      </c>
      <c r="F1" s="40" t="s">
        <v>915</v>
      </c>
      <c r="G1" s="37" t="s">
        <v>920</v>
      </c>
    </row>
    <row r="2" spans="1:7" x14ac:dyDescent="0.2">
      <c r="A2" s="10" t="s">
        <v>377</v>
      </c>
      <c r="B2" s="10" t="s">
        <v>853</v>
      </c>
      <c r="C2" s="10" t="s">
        <v>854</v>
      </c>
      <c r="F2" s="39" t="s">
        <v>919</v>
      </c>
      <c r="G2" s="37" t="s">
        <v>921</v>
      </c>
    </row>
    <row r="3" spans="1:7" x14ac:dyDescent="0.2">
      <c r="A3" s="10" t="s">
        <v>838</v>
      </c>
      <c r="B3" s="10" t="s">
        <v>839</v>
      </c>
      <c r="C3" s="10" t="s">
        <v>857</v>
      </c>
    </row>
    <row r="4" spans="1:7" x14ac:dyDescent="0.2">
      <c r="A4" s="10" t="s">
        <v>833</v>
      </c>
      <c r="B4" s="10" t="s">
        <v>834</v>
      </c>
      <c r="C4" s="10" t="s">
        <v>875</v>
      </c>
    </row>
    <row r="5" spans="1:7" x14ac:dyDescent="0.2">
      <c r="A5" s="10" t="s">
        <v>837</v>
      </c>
      <c r="B5" s="10" t="s">
        <v>848</v>
      </c>
      <c r="C5" s="10" t="s">
        <v>849</v>
      </c>
    </row>
    <row r="6" spans="1:7" x14ac:dyDescent="0.2">
      <c r="A6" s="10" t="s">
        <v>870</v>
      </c>
      <c r="B6" s="10" t="s">
        <v>871</v>
      </c>
      <c r="C6" s="10" t="s">
        <v>872</v>
      </c>
    </row>
    <row r="7" spans="1:7" x14ac:dyDescent="0.2">
      <c r="A7" s="10" t="s">
        <v>883</v>
      </c>
      <c r="B7" s="10" t="s">
        <v>884</v>
      </c>
      <c r="C7" s="10" t="s">
        <v>885</v>
      </c>
    </row>
    <row r="8" spans="1:7" x14ac:dyDescent="0.2">
      <c r="A8" s="10" t="s">
        <v>864</v>
      </c>
      <c r="B8" s="10" t="s">
        <v>865</v>
      </c>
      <c r="C8" s="10" t="s">
        <v>866</v>
      </c>
    </row>
    <row r="9" spans="1:7" x14ac:dyDescent="0.2">
      <c r="A9" s="10" t="s">
        <v>840</v>
      </c>
      <c r="B9" s="10" t="s">
        <v>881</v>
      </c>
      <c r="C9" s="10" t="s">
        <v>882</v>
      </c>
    </row>
    <row r="10" spans="1:7" x14ac:dyDescent="0.2">
      <c r="A10" s="10" t="s">
        <v>867</v>
      </c>
      <c r="B10" s="10" t="s">
        <v>868</v>
      </c>
      <c r="C10" s="10" t="s">
        <v>869</v>
      </c>
    </row>
    <row r="11" spans="1:7" x14ac:dyDescent="0.2">
      <c r="A11" s="10" t="s">
        <v>850</v>
      </c>
      <c r="B11" s="10" t="s">
        <v>851</v>
      </c>
      <c r="C11" s="10" t="s">
        <v>852</v>
      </c>
    </row>
    <row r="12" spans="1:7" x14ac:dyDescent="0.2">
      <c r="A12" s="10" t="s">
        <v>858</v>
      </c>
      <c r="B12" s="10" t="s">
        <v>859</v>
      </c>
      <c r="C12" s="10" t="s">
        <v>860</v>
      </c>
    </row>
    <row r="13" spans="1:7" x14ac:dyDescent="0.2">
      <c r="A13" s="10" t="s">
        <v>835</v>
      </c>
      <c r="B13" s="10" t="s">
        <v>873</v>
      </c>
      <c r="C13" s="10" t="s">
        <v>874</v>
      </c>
    </row>
    <row r="14" spans="1:7" x14ac:dyDescent="0.2">
      <c r="A14" s="10" t="s">
        <v>879</v>
      </c>
      <c r="B14" s="10" t="s">
        <v>836</v>
      </c>
      <c r="C14" s="10" t="s">
        <v>880</v>
      </c>
    </row>
    <row r="15" spans="1:7" x14ac:dyDescent="0.2">
      <c r="A15" s="10" t="s">
        <v>876</v>
      </c>
      <c r="B15" s="10" t="s">
        <v>877</v>
      </c>
      <c r="C15" s="10" t="s">
        <v>878</v>
      </c>
    </row>
    <row r="16" spans="1:7" x14ac:dyDescent="0.2">
      <c r="A16" s="10" t="s">
        <v>632</v>
      </c>
      <c r="B16" s="10" t="s">
        <v>855</v>
      </c>
      <c r="C16" s="10" t="s">
        <v>856</v>
      </c>
    </row>
  </sheetData>
  <sheetProtection password="CC55" sheet="1" objects="1" scenarios="1"/>
  <phoneticPr fontId="4" type="noConversion"/>
  <hyperlinks>
    <hyperlink ref="F1" location="ReadMe!A1" display="ReadMe" xr:uid="{00000000-0004-0000-1000-000000000000}"/>
    <hyperlink ref="F2" location="CE_GRID!A1" display="CE_GRID" xr:uid="{00000000-0004-0000-1000-000001000000}"/>
  </hyperlink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A1:L14"/>
  <sheetViews>
    <sheetView zoomScale="145" zoomScaleNormal="145" workbookViewId="0">
      <selection activeCell="K1" sqref="K1"/>
    </sheetView>
  </sheetViews>
  <sheetFormatPr defaultColWidth="9.140625" defaultRowHeight="12.75" x14ac:dyDescent="0.2"/>
  <cols>
    <col min="1" max="1" width="9.140625" style="1"/>
    <col min="2" max="2" width="17.85546875" style="1" bestFit="1" customWidth="1"/>
    <col min="3" max="3" width="18.28515625" style="1" bestFit="1" customWidth="1"/>
    <col min="4" max="16384" width="9.140625" style="1"/>
  </cols>
  <sheetData>
    <row r="1" spans="1:12" ht="25.5" x14ac:dyDescent="0.2">
      <c r="A1" s="72" t="s">
        <v>981</v>
      </c>
      <c r="B1" s="73" t="s">
        <v>1368</v>
      </c>
      <c r="C1" s="73" t="s">
        <v>1369</v>
      </c>
      <c r="G1" s="37"/>
      <c r="K1" s="94">
        <v>1</v>
      </c>
      <c r="L1" s="37" t="s">
        <v>921</v>
      </c>
    </row>
    <row r="2" spans="1:12" ht="25.5" x14ac:dyDescent="0.2">
      <c r="A2" s="72" t="s">
        <v>982</v>
      </c>
      <c r="B2" s="73" t="s">
        <v>1370</v>
      </c>
      <c r="C2" s="73" t="s">
        <v>1371</v>
      </c>
    </row>
    <row r="3" spans="1:12" ht="25.5" x14ac:dyDescent="0.25">
      <c r="A3" s="72" t="s">
        <v>983</v>
      </c>
      <c r="B3" s="73" t="s">
        <v>1372</v>
      </c>
      <c r="C3" s="73" t="s">
        <v>1373</v>
      </c>
      <c r="G3" s="9"/>
    </row>
    <row r="4" spans="1:12" ht="25.5" x14ac:dyDescent="0.2">
      <c r="A4" s="72" t="s">
        <v>984</v>
      </c>
      <c r="B4" s="73" t="s">
        <v>1374</v>
      </c>
      <c r="C4" s="73" t="s">
        <v>1375</v>
      </c>
    </row>
    <row r="5" spans="1:12" ht="25.5" x14ac:dyDescent="0.2">
      <c r="A5" s="72" t="s">
        <v>985</v>
      </c>
      <c r="B5" s="73" t="s">
        <v>1376</v>
      </c>
      <c r="C5" s="73" t="s">
        <v>1377</v>
      </c>
    </row>
    <row r="6" spans="1:12" ht="25.5" x14ac:dyDescent="0.2">
      <c r="A6" s="72" t="s">
        <v>978</v>
      </c>
      <c r="B6" s="73" t="s">
        <v>1378</v>
      </c>
      <c r="C6" s="73" t="s">
        <v>1379</v>
      </c>
    </row>
    <row r="7" spans="1:12" ht="25.5" x14ac:dyDescent="0.2">
      <c r="A7" s="72" t="s">
        <v>979</v>
      </c>
      <c r="B7" s="73" t="s">
        <v>1380</v>
      </c>
      <c r="C7" s="73" t="s">
        <v>1381</v>
      </c>
    </row>
    <row r="8" spans="1:12" ht="25.5" x14ac:dyDescent="0.2">
      <c r="A8" s="72" t="s">
        <v>980</v>
      </c>
      <c r="B8" s="73" t="s">
        <v>1382</v>
      </c>
      <c r="C8" s="73" t="s">
        <v>1383</v>
      </c>
    </row>
    <row r="9" spans="1:12" x14ac:dyDescent="0.2">
      <c r="A9" s="72" t="s">
        <v>986</v>
      </c>
      <c r="B9" s="73" t="s">
        <v>1384</v>
      </c>
      <c r="C9" s="73" t="s">
        <v>1385</v>
      </c>
    </row>
    <row r="10" spans="1:12" ht="25.5" x14ac:dyDescent="0.2">
      <c r="A10" s="72" t="s">
        <v>976</v>
      </c>
      <c r="B10" s="73" t="s">
        <v>1386</v>
      </c>
      <c r="C10" s="73" t="s">
        <v>1387</v>
      </c>
    </row>
    <row r="11" spans="1:12" ht="25.5" x14ac:dyDescent="0.2">
      <c r="A11" s="72" t="s">
        <v>977</v>
      </c>
      <c r="B11" s="73" t="s">
        <v>1388</v>
      </c>
      <c r="C11" s="73" t="s">
        <v>1389</v>
      </c>
    </row>
    <row r="12" spans="1:12" ht="25.5" x14ac:dyDescent="0.2">
      <c r="A12" s="72" t="s">
        <v>973</v>
      </c>
      <c r="B12" s="73" t="s">
        <v>1390</v>
      </c>
      <c r="C12" s="73" t="s">
        <v>1391</v>
      </c>
      <c r="F12" s="45"/>
    </row>
    <row r="13" spans="1:12" ht="25.5" x14ac:dyDescent="0.2">
      <c r="A13" s="72" t="s">
        <v>974</v>
      </c>
      <c r="B13" s="73" t="s">
        <v>1392</v>
      </c>
      <c r="C13" s="73" t="s">
        <v>1393</v>
      </c>
    </row>
    <row r="14" spans="1:12" ht="25.5" x14ac:dyDescent="0.2">
      <c r="A14" s="72" t="s">
        <v>975</v>
      </c>
      <c r="B14" s="73" t="s">
        <v>1394</v>
      </c>
      <c r="C14" s="73" t="s">
        <v>1395</v>
      </c>
    </row>
  </sheetData>
  <sheetProtection algorithmName="SHA-512" hashValue="A0Kd8envFRuot7GShaMSofWYcq5Kk4ct5jA21bsrJ3axuS4RskwQcGZnWu7VA4LlHLLC5b2amyMskx2dAFNWiQ==" saltValue="OF2Xr3yaidNyj68zda6t2A==" spinCount="100000" sheet="1" objects="1" scenarios="1"/>
  <sortState xmlns:xlrd2="http://schemas.microsoft.com/office/spreadsheetml/2017/richdata2" ref="A1:J14">
    <sortCondition ref="A1"/>
  </sortState>
  <phoneticPr fontId="4" type="noConversion"/>
  <hyperlinks>
    <hyperlink ref="K1" location="PRICE!A1" display="1" xr:uid="{00000000-0004-0000-1100-000000000000}"/>
  </hyperlinks>
  <pageMargins left="0.75" right="0.75" top="1" bottom="1" header="0.5" footer="0.5"/>
  <pageSetup paperSize="9"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BE6FAE-EA13-431D-B11C-369910A5C7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17</vt:i4>
      </vt:variant>
    </vt:vector>
  </HeadingPairs>
  <TitlesOfParts>
    <vt:vector size="24" baseType="lpstr">
      <vt:lpstr>CODEHI</vt:lpstr>
      <vt:lpstr>ReadMe</vt:lpstr>
      <vt:lpstr>FORM</vt:lpstr>
      <vt:lpstr>PRICE</vt:lpstr>
      <vt:lpstr>PPL</vt:lpstr>
      <vt:lpstr>NOTES</vt:lpstr>
      <vt:lpstr>CODES</vt:lpstr>
      <vt:lpstr>CUR</vt:lpstr>
      <vt:lpstr>FIELDS</vt:lpstr>
      <vt:lpstr>FLG</vt:lpstr>
      <vt:lpstr>FPR</vt:lpstr>
      <vt:lpstr>FPRV</vt:lpstr>
      <vt:lpstr>LANG3</vt:lpstr>
      <vt:lpstr>LANGUAGE</vt:lpstr>
      <vt:lpstr>OCE</vt:lpstr>
      <vt:lpstr>PDES</vt:lpstr>
      <vt:lpstr>period</vt:lpstr>
      <vt:lpstr>PPL</vt:lpstr>
      <vt:lpstr>SCITARGETSPECIES</vt:lpstr>
      <vt:lpstr>SPC</vt:lpstr>
      <vt:lpstr>sptab</vt:lpstr>
      <vt:lpstr>SZCA</vt:lpstr>
      <vt:lpstr>TYPR</vt:lpstr>
      <vt:lpstr>WUN</vt:lpstr>
    </vt:vector>
  </TitlesOfParts>
  <Company>Dell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 piere</dc:creator>
  <cp:lastModifiedBy>Pierre, Lucia (NFITD)</cp:lastModifiedBy>
  <dcterms:created xsi:type="dcterms:W3CDTF">2009-04-03T06:28:52Z</dcterms:created>
  <dcterms:modified xsi:type="dcterms:W3CDTF">2024-06-26T04:52:16Z</dcterms:modified>
</cp:coreProperties>
</file>