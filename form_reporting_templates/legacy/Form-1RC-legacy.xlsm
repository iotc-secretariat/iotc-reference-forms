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Iotcs08\d\Miguel\D_IOTC\Data Requests\Guidelines DR\Data reporting forms\Latest (web page)\unzipped\"/>
    </mc:Choice>
  </mc:AlternateContent>
  <xr:revisionPtr revIDLastSave="0" documentId="13_ncr:1_{782E2C7C-818A-470B-9D3C-B7F513219D41}" xr6:coauthVersionLast="47" xr6:coauthVersionMax="47" xr10:uidLastSave="{00000000-0000-0000-0000-000000000000}"/>
  <workbookProtection workbookAlgorithmName="SHA-512" workbookHashValue="WfTOx3HvABYeoGBDf6KnLNoyyNiVrF95daaL/JRzx8VqK1O0s6erPmn7clr0yTgLqrAz4n1xngQCX/gzaDP2UA==" workbookSaltValue="YKxSr3GtsyPMU1AQ/iRQHA==" workbookSpinCount="100000" lockStructure="1"/>
  <bookViews>
    <workbookView xWindow="28680" yWindow="-120" windowWidth="29040" windowHeight="15720" tabRatio="861" activeTab="2" xr2:uid="{00000000-000D-0000-FFFF-FFFF00000000}"/>
  </bookViews>
  <sheets>
    <sheet name="ReadMe" sheetId="3" r:id="rId1"/>
    <sheet name="FORM" sheetId="13" state="hidden" r:id="rId2"/>
    <sheet name="NC" sheetId="1" r:id="rId3"/>
    <sheet name="CODEHI" sheetId="5" state="hidden" r:id="rId4"/>
    <sheet name="ARE" sheetId="12" state="veryHidden" r:id="rId5"/>
    <sheet name="CUN" sheetId="14" state="veryHidden" r:id="rId6"/>
    <sheet name="FLG" sheetId="4" state="veryHidden" r:id="rId7"/>
    <sheet name="REA" sheetId="15" state="veryHidden" r:id="rId8"/>
    <sheet name="TSPC" sheetId="11" state="veryHidden" r:id="rId9"/>
    <sheet name="FIS" sheetId="6" state="veryHidden" r:id="rId10"/>
    <sheet name="DSO" sheetId="7" state="veryHidden" r:id="rId11"/>
    <sheet name="DPR" sheetId="8" state="veryHidden" r:id="rId12"/>
    <sheet name="COV" sheetId="9" state="veryHidden" r:id="rId13"/>
    <sheet name="SPC" sheetId="10" state="veryHidden" r:id="rId14"/>
  </sheets>
  <definedNames>
    <definedName name="_xlnm._FilterDatabase" localSheetId="6" hidden="1">FLG!$A$1:$C$55</definedName>
    <definedName name="_xlnm._FilterDatabase" localSheetId="2" hidden="1">NC!$B$25:$AB$31</definedName>
    <definedName name="ARE">NC!$C$28:$C$147</definedName>
    <definedName name="CODEARE">OFFSET(ARE!$A$2,0,0,COUNTA(ARE!$A:$A),1)</definedName>
    <definedName name="CodeCOV">OFFSET(COV!$A$2,0,0,COUNTA(COV!$A:$A),1)</definedName>
    <definedName name="CODECUN">OFFSET(CUN!$A$2,0,0,COUNTA(CUN!$A:$A),1)</definedName>
    <definedName name="CODEDPR">OFFSET(DPR!$A$2,0,0,COUNTA(DPR!$A:$A),1)</definedName>
    <definedName name="CODEDSO">OFFSET(DSO!$A$2,0,0,COUNTA(DSO!$A:$A),1)</definedName>
    <definedName name="CODEFIS">OFFSET(FIS!$A$2,0,0,COUNTA(FIS!$A:$A),1)</definedName>
    <definedName name="CODEFLG">OFFSET(FLG!$A$2,0,0,COUNTA(FLG!$A:$A),1)</definedName>
    <definedName name="CODEREA">OFFSET(REA!$A$2,0,0,COUNTA(REA!$A:$A),-1)</definedName>
    <definedName name="CODESPC">OFFSET(SPC!$A$2,0,0,COUNTA(SPC!$A:$A),-1)</definedName>
    <definedName name="CODETSPC">OFFSET(TSPC!$A$2,0,0,COUNTA(TSPC!$A:$A),1)</definedName>
    <definedName name="COV">NC!$H$28:$H$147</definedName>
    <definedName name="CUN">NC!$S$17</definedName>
    <definedName name="DISPLAY">"EnglishnameFLAG"&amp;"Codes"</definedName>
    <definedName name="DPR">NC!$F$28:$F$147</definedName>
    <definedName name="DSO">NC!$E$28:$E$147</definedName>
    <definedName name="ENGLISH_I_ANGLAISARE">OFFSET(ARE!$B$2,0,0,COUNTA(ARE!$B:$B),1)</definedName>
    <definedName name="ENGLISH_I_ANGLAISCOV">OFFSET(COV!$B$2,0,0,COUNTA(COV!$B:$B),1)</definedName>
    <definedName name="ENGLISH_I_ANGLAISCUN">OFFSET(CUN!$B$2,0,0,COUNTA(CUN!$B:$B),1)</definedName>
    <definedName name="ENGLISH_I_ANGLAISDPR">OFFSET(DPR!$B$2,0,0,COUNTA(DPR!$B:$B),1)</definedName>
    <definedName name="ENGLISH_I_ANGLAISDSO">OFFSET(DSO!$B$2,0,0,COUNTA(DSO!$B:$B),1)</definedName>
    <definedName name="ENGLISH_I_ANGLAISFIS">OFFSET(FIS!$B$2,0,0,COUNTA(FIS!$B:$B),1)</definedName>
    <definedName name="ENGLISH_I_ANGLAISFLG">OFFSET(FLG!$B$2,0,0,COUNTA(FLG!$B:$B),1)</definedName>
    <definedName name="ENGLISH_I_ANGLAISREA">OFFSET(REA!$B$2,0,0,COUNTA(REA!$B:$B),1)</definedName>
    <definedName name="ENGLISH_I_ANGLAISSPC">OFFSET(SPC!$B$2,0,0,COUNTA(SPC!$B:$B),-1)</definedName>
    <definedName name="ENGLISH_I_ANGLAISTSPC">OFFSET(TSPC!$B$2,0,0,COUNTA(TSPC!$B:$B),1)</definedName>
    <definedName name="FIELDS">CODEHI!$C$2:$C$11</definedName>
    <definedName name="FIELDS2">CODEHI!$H$2:$H$10</definedName>
    <definedName name="FIS">NC!$B$28:$B$147</definedName>
    <definedName name="flags">FLG!$A$1:$C$49</definedName>
    <definedName name="FLG">NC!$C$16:$D$17</definedName>
    <definedName name="FRANÇAIS_I_FRENCHARE">OFFSET(ARE!$C$2,0,0,COUNTA(ARE!$C:$C),1)</definedName>
    <definedName name="FRANÇAIS_I_FRENCHCOV">OFFSET(COV!$C$2,0,0,COUNTA(COV!$C:$C),1)</definedName>
    <definedName name="FRANÇAIS_I_FRENCHCUN">OFFSET(CUN!$C$2,0,0,COUNTA(CUN!$C:$C),1)</definedName>
    <definedName name="FRANÇAIS_I_FRENCHDPR">OFFSET(DPR!$C$2,0,0,COUNTA(DPR!$C:$C),1)</definedName>
    <definedName name="FRANÇAIS_I_FRENCHDSO">OFFSET(DSO!$C$2,0,0,COUNTA(DSO!$C:$C),1)</definedName>
    <definedName name="FRANÇAIS_I_FRENCHFIS">OFFSET(FIS!$C$2,0,0,COUNTA(FIS!$C:$C),1)</definedName>
    <definedName name="FRANÇAIS_I_FRENCHFLG">OFFSET(FLG!$C$2,0,0,COUNTA(FLG!$C:$C),1)</definedName>
    <definedName name="FRANÇAIS_I_FRENCHREA">OFFSET(REA!$C$2,0,0,COUNTA(REA!$C:$C),1)</definedName>
    <definedName name="FRANÇAIS_I_FRENCHSPC">OFFSET(SPC!$C$2,0,0,COUNTA(SPC!$C:$C),-1)</definedName>
    <definedName name="FRANÇAIS_I_FRENCHTSPC">OFFSET(TSPC!$C$2,0,0,COUNTA(TSPC!$C:$C),1)</definedName>
    <definedName name="ge">FIS!$A$16:$C$28</definedName>
    <definedName name="IOTCS09_IOTCStatistics_V_REP_COVERAGE" localSheetId="12" hidden="1">COV!$A$1:$C$27</definedName>
    <definedName name="iotcs09_IOTCStatistics_V_REP_FISHERIES" localSheetId="9" hidden="1">FIS!$A$1:$D$67</definedName>
    <definedName name="IOTCS09_IOTCStatistics_V_REP_FLAGS" localSheetId="6" hidden="1">FLG!$A$1:$C$77</definedName>
    <definedName name="iotcs09_IOTCStatistics_V_REP_NC_AREAS" localSheetId="4" hidden="1">ARE!$A$1:$C$3</definedName>
    <definedName name="IOTCS09_IOTCStatistics_V_REP_NC_DATA_SOURCES" localSheetId="10" hidden="1">DSO!$A$1:$C$6</definedName>
    <definedName name="IOTCS09_IOTCStatistics_V_REP_NC_ESTIMATION_PROCEDURES" localSheetId="11" hidden="1">DPR!$A$1:$C$8</definedName>
    <definedName name="IOTCS09_IOTCStatistics_V_REP_NC_FATES" localSheetId="7" hidden="1">REA!$A$1:$C$6</definedName>
    <definedName name="iotcs09_IOTCStatistics_V_REP_SPECIES" localSheetId="13" hidden="1">SPC!$A$1:$D$255</definedName>
    <definedName name="iotcs09_IOTCStatistics_V_REP_SPECIES_1" localSheetId="8" hidden="1">TSPC!$A$1:$D$255</definedName>
    <definedName name="LANG">OFFSET(CODEHI!$A$1,0,0,COUNTA(CODEHI!$A$1:$A$3),1)</definedName>
    <definedName name="LANG1">INDIRECT(LANG)</definedName>
    <definedName name="lang3">NC!$C$6</definedName>
    <definedName name="LANGUAGE">CODEHI!$A$1:$A$3</definedName>
    <definedName name="LANGUAGESET">CODEHI!$A$1:$A$3</definedName>
    <definedName name="phno">NC!$E$11,NC!$Z$11</definedName>
    <definedName name="REA">NC!$I$28:$I$147</definedName>
    <definedName name="SCITARGETSPECIES">OFFSET(SPC!$D$1,MATCH("",SPC!$D:$D),0,COUNTA(SPC!$D:$D),1)</definedName>
    <definedName name="SPC">NC!$J$26:$EB$26</definedName>
    <definedName name="SPECIES">OFFSET(SPC!$A$16:$C$16,0,0,COUNTA(SPC!$A:$C),1)</definedName>
    <definedName name="SPSC">OFFSET(SPC!$D$2,0,0,COUNTA(SPC!$D:$D),1)</definedName>
    <definedName name="TSPC">NC!$G$28:$G$147</definedName>
    <definedName name="TYPE">#REF!</definedName>
    <definedName name="TYPEDATA">CODEHI!$J$2:$J$3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B27" i="1" l="1"/>
  <c r="EA27" i="1"/>
  <c r="DZ27" i="1"/>
  <c r="DY27" i="1"/>
  <c r="DX27" i="1"/>
  <c r="DW27" i="1"/>
  <c r="DV27" i="1"/>
  <c r="DU27" i="1"/>
  <c r="DT27" i="1"/>
  <c r="DS27" i="1"/>
  <c r="DR27" i="1"/>
  <c r="DQ27" i="1"/>
  <c r="DP27" i="1"/>
  <c r="DO27" i="1"/>
  <c r="DN27" i="1"/>
  <c r="DM27" i="1"/>
  <c r="DL27" i="1"/>
  <c r="DK27" i="1"/>
  <c r="DJ27" i="1"/>
  <c r="DI27" i="1"/>
  <c r="DH27" i="1"/>
  <c r="DG27" i="1"/>
  <c r="DF27" i="1"/>
  <c r="DE27" i="1"/>
  <c r="DD27" i="1"/>
  <c r="DC27" i="1"/>
  <c r="DB27" i="1"/>
  <c r="DA27" i="1"/>
  <c r="CZ27" i="1"/>
  <c r="CY27" i="1"/>
  <c r="CX27" i="1"/>
  <c r="CW27" i="1"/>
  <c r="CV27" i="1"/>
  <c r="CU27" i="1"/>
  <c r="CT27" i="1"/>
  <c r="CS27" i="1"/>
  <c r="CR27" i="1"/>
  <c r="CQ27" i="1"/>
  <c r="CP27" i="1"/>
  <c r="CO27" i="1"/>
  <c r="CN27" i="1"/>
  <c r="CM27" i="1"/>
  <c r="CL27" i="1"/>
  <c r="CK27" i="1"/>
  <c r="CJ27" i="1"/>
  <c r="CI27" i="1"/>
  <c r="CH27" i="1"/>
  <c r="CG27" i="1"/>
  <c r="CF27" i="1"/>
  <c r="CE27" i="1"/>
  <c r="CD27" i="1"/>
  <c r="CC27" i="1"/>
  <c r="CB27" i="1"/>
  <c r="CA27" i="1"/>
  <c r="BZ27" i="1"/>
  <c r="BY27" i="1"/>
  <c r="BX27" i="1"/>
  <c r="BW27" i="1"/>
  <c r="BV27" i="1"/>
  <c r="BU27" i="1"/>
  <c r="BT27" i="1"/>
  <c r="BS27" i="1"/>
  <c r="BR27" i="1"/>
  <c r="BQ27" i="1"/>
  <c r="BP27" i="1"/>
  <c r="BO27" i="1"/>
  <c r="BN27" i="1"/>
  <c r="BM27" i="1"/>
  <c r="BL27" i="1"/>
  <c r="BK27" i="1"/>
  <c r="BJ27" i="1"/>
  <c r="BI27" i="1"/>
  <c r="BH27" i="1"/>
  <c r="BG27" i="1"/>
  <c r="BF27" i="1"/>
  <c r="BE27" i="1"/>
  <c r="BD27" i="1"/>
  <c r="BC27" i="1"/>
  <c r="BB27" i="1"/>
  <c r="BA27" i="1"/>
  <c r="AZ27" i="1"/>
  <c r="AY27" i="1"/>
  <c r="AX27" i="1"/>
  <c r="AW27" i="1"/>
  <c r="AV27" i="1"/>
  <c r="AU27" i="1"/>
  <c r="AT27" i="1"/>
  <c r="AS27" i="1"/>
  <c r="AR27" i="1"/>
  <c r="AQ27" i="1"/>
  <c r="AP27" i="1"/>
  <c r="AO27" i="1"/>
  <c r="AN27" i="1"/>
  <c r="H25" i="1"/>
  <c r="I25" i="1"/>
  <c r="D27" i="13" l="1"/>
  <c r="AM27" i="1"/>
  <c r="AL27" i="1"/>
  <c r="AK27" i="1"/>
  <c r="AJ27" i="1"/>
  <c r="AI27" i="1"/>
  <c r="AH27" i="1"/>
  <c r="AG27" i="1"/>
  <c r="AF27" i="1"/>
  <c r="AE27" i="1"/>
  <c r="AD27" i="1"/>
  <c r="AC27" i="1"/>
  <c r="AB27" i="1"/>
  <c r="AA27" i="1"/>
  <c r="Z27" i="1"/>
  <c r="Y27" i="1"/>
  <c r="X27" i="1"/>
  <c r="W27" i="1"/>
  <c r="V27" i="1"/>
  <c r="U27" i="1"/>
  <c r="T27" i="1"/>
  <c r="S27" i="1"/>
  <c r="R27" i="1"/>
  <c r="Q27" i="1"/>
  <c r="P27" i="1"/>
  <c r="O27" i="1"/>
  <c r="N27" i="1"/>
  <c r="M27" i="1"/>
  <c r="L27" i="1"/>
  <c r="K27" i="1"/>
  <c r="J27" i="1"/>
  <c r="A25" i="1"/>
  <c r="D26" i="13"/>
  <c r="D2" i="13"/>
  <c r="D3" i="13"/>
  <c r="D4" i="13"/>
  <c r="D5" i="13"/>
  <c r="D6" i="13"/>
  <c r="D7" i="13"/>
  <c r="D8" i="13"/>
  <c r="D9" i="13"/>
  <c r="D10" i="13"/>
  <c r="D11" i="13"/>
  <c r="D12" i="13"/>
  <c r="D13" i="13"/>
  <c r="D14" i="13"/>
  <c r="D15" i="13"/>
  <c r="D16" i="13"/>
  <c r="D17" i="13"/>
  <c r="D18" i="13"/>
  <c r="D19" i="13"/>
  <c r="D20" i="13"/>
  <c r="D21" i="13"/>
  <c r="D22" i="13"/>
  <c r="D23" i="13"/>
  <c r="D24" i="13"/>
  <c r="D25" i="13"/>
  <c r="D1" i="13"/>
  <c r="W11" i="1"/>
  <c r="J25" i="1"/>
  <c r="G25" i="1"/>
  <c r="F25" i="1"/>
  <c r="E25" i="1"/>
  <c r="D25" i="1"/>
  <c r="C25" i="1"/>
  <c r="B25" i="1"/>
  <c r="F3" i="1"/>
  <c r="F1" i="1"/>
  <c r="Q17" i="1"/>
  <c r="Q16" i="1"/>
  <c r="A17" i="1"/>
  <c r="A16" i="1"/>
  <c r="B15" i="1"/>
  <c r="A6" i="1"/>
  <c r="A20" i="1"/>
  <c r="D11" i="1"/>
  <c r="N9" i="1"/>
  <c r="O11" i="1"/>
  <c r="O10" i="1"/>
  <c r="A11" i="1"/>
  <c r="A10" i="1"/>
  <c r="A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IOTCS09 IOTCStatistics V_REP_COVERAGE"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 FROM &quot;IOTCStatistics&quot;.&quot;dbo&quot;.&quot;V_REP_COVERAGE&quot; ORDER BY CODE"/>
  </connection>
  <connection id="2" xr16:uid="{00000000-0015-0000-FFFF-FFFF01000000}" keepAlive="1" name="iotcs09 IOTCStatistics V_REP_FISHERIE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CODE, NAME_EN, NAME_FR, FISHERY_TYPE from &quot;IOTCStatistics&quot;.&quot;dbo&quot;.&quot;V_REP_FISHERIES&quot; order by IS_AGGREGATION,CODE"/>
  </connection>
  <connection id="3" xr16:uid="{00000000-0015-0000-FFFF-FFFF02000000}" keepAlive="1" name="IOTCS09 IOTCStatistics V_REP_FLAG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 FROM &quot;IOTCStatistics&quot;.&quot;dbo&quot;.&quot;V_REP_FLAGS&quot; ORDER BY CODE"/>
  </connection>
  <connection id="4" xr16:uid="{00000000-0015-0000-FFFF-FFFF03000000}" odcFile="C:\Users\lucia\Documents\My Data Sources\iotcs09 IOTCStatistics V_REP_NC_AREAS.odc" keepAlive="1" name="iotcs09 IOTCStatistics V_REP_NC_AREAS" type="5" refreshedVersion="8"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NC_AREAS&quot;" commandType="3"/>
  </connection>
  <connection id="5" xr16:uid="{00000000-0015-0000-FFFF-FFFF04000000}" odcFile="C:\Users\lucia\Documents\My Data Sources\IOTCS09 IOTCStatistics V_REP_NC_DATA_SOURCES.odc" keepAlive="1" name="IOTCS09 IOTCStatistics V_REP_NC_DATA_SOURCES" type="5" refreshedVersion="8"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NC_DATA_SOURCES&quot;" commandType="3"/>
  </connection>
  <connection id="6" xr16:uid="{00000000-0015-0000-FFFF-FFFF05000000}" keepAlive="1" name="IOTCS09 IOTCStatistics V_REP_NC_ESTIMATION_PROCEDURE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 FROM &quot;IOTCStatistics&quot;.&quot;dbo&quot;.&quot;V_REP_NC_ESTIMATION_PROCEDURES&quot; ORDER BY CODE"/>
  </connection>
  <connection id="7" xr16:uid="{00000000-0015-0000-FFFF-FFFF06000000}" odcFile="C:\Users\lucia\Documents\My Data Sources\IOTCS09 IOTCStatistics V_REP_NC_FATES.odc" keepAlive="1" name="IOTCS09 IOTCStatistics V_REP_NC_FATES" type="5" refreshedVersion="8" onlyUseConnectionFile="1"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NC_FATES&quot;" commandType="3"/>
  </connection>
  <connection id="8" xr16:uid="{00000000-0015-0000-FFFF-FFFF07000000}" keepAlive="1" name="iotcs09 IOTCStatistics V_REP_SPECIE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CODE, NAME_EN, NAME_FR, SCIENTIFIC_NAME  from &quot;IOTCStatistics&quot;.&quot;dbo&quot;.&quot;V_REP_SPECIES&quot; order by IS_AGGREGATION, POSITION, CODE"/>
  </connection>
  <connection id="9" xr16:uid="{00000000-0015-0000-FFFF-FFFF08000000}" keepAlive="1" name="iotcs09 IOTCStatistics V_REP_SPECIES1"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CODE, NAME_EN, NAME_FR, SCIENTIFIC_NAME from &quot;IOTCStatistics&quot;.&quot;dbo&quot;.&quot;V_REP_SPECIES&quot; order by IS_AGGREGATION, POSITION, code"/>
  </connection>
</connections>
</file>

<file path=xl/sharedStrings.xml><?xml version="1.0" encoding="utf-8"?>
<sst xmlns="http://schemas.openxmlformats.org/spreadsheetml/2006/main" count="2865" uniqueCount="1629">
  <si>
    <t>ESP</t>
  </si>
  <si>
    <t>FRA</t>
  </si>
  <si>
    <t>GBR</t>
  </si>
  <si>
    <t>PRT</t>
  </si>
  <si>
    <t>ITA</t>
  </si>
  <si>
    <t>REPORTING COUNTRY</t>
  </si>
  <si>
    <t>NAME</t>
  </si>
  <si>
    <t>FLAG COUNTRY</t>
  </si>
  <si>
    <t>E-MAIL</t>
  </si>
  <si>
    <t>PHONE No.</t>
  </si>
  <si>
    <t>ORGANISATION</t>
  </si>
  <si>
    <t>YEAR</t>
  </si>
  <si>
    <t>CATCH UNITS</t>
  </si>
  <si>
    <t>FISHERY</t>
  </si>
  <si>
    <t>AREA</t>
  </si>
  <si>
    <t>DATA SOURCES</t>
  </si>
  <si>
    <t>DATA PROCESSING</t>
  </si>
  <si>
    <t>TARGET SPECIES</t>
  </si>
  <si>
    <t>COVERAGE</t>
  </si>
  <si>
    <t>COMMENTS</t>
  </si>
  <si>
    <t>AUS</t>
  </si>
  <si>
    <t>YFT</t>
  </si>
  <si>
    <t>Thunnus albacares</t>
  </si>
  <si>
    <t>BHR</t>
  </si>
  <si>
    <t>BET</t>
  </si>
  <si>
    <t>Thunnus obesus</t>
  </si>
  <si>
    <t>BGD</t>
  </si>
  <si>
    <t>SKJ</t>
  </si>
  <si>
    <t>Katsuwonus pelamis</t>
  </si>
  <si>
    <t>BLZ</t>
  </si>
  <si>
    <t>ALB</t>
  </si>
  <si>
    <t>Thunnus alalunga</t>
  </si>
  <si>
    <t>CHN</t>
  </si>
  <si>
    <t>SBF</t>
  </si>
  <si>
    <t>Thunnus maccoyii</t>
  </si>
  <si>
    <t>TWN</t>
  </si>
  <si>
    <t>SWO</t>
  </si>
  <si>
    <t>Xiphias gladius</t>
  </si>
  <si>
    <t>COM</t>
  </si>
  <si>
    <t>BLM</t>
  </si>
  <si>
    <t>Makaira indica</t>
  </si>
  <si>
    <t>DJI</t>
  </si>
  <si>
    <t>BUM</t>
  </si>
  <si>
    <t>Makaira nigricans</t>
  </si>
  <si>
    <t>EGY</t>
  </si>
  <si>
    <t>MLS</t>
  </si>
  <si>
    <t>Tetrapturus audax</t>
  </si>
  <si>
    <t>ERI</t>
  </si>
  <si>
    <t>SFA</t>
  </si>
  <si>
    <t>Istiophorus platypterus</t>
  </si>
  <si>
    <t>LOT</t>
  </si>
  <si>
    <t>Thunnus tonggol</t>
  </si>
  <si>
    <t>FRAT</t>
  </si>
  <si>
    <t>KAW</t>
  </si>
  <si>
    <t>Euthynnus affinis</t>
  </si>
  <si>
    <t>GIN</t>
  </si>
  <si>
    <t>FRI</t>
  </si>
  <si>
    <t>Auxis thazard</t>
  </si>
  <si>
    <t>IND</t>
  </si>
  <si>
    <t>BLT</t>
  </si>
  <si>
    <t>Auxis rochei</t>
  </si>
  <si>
    <t>IDN</t>
  </si>
  <si>
    <t>Scomberomorus commerson</t>
  </si>
  <si>
    <t>IRN</t>
  </si>
  <si>
    <t>GUT</t>
  </si>
  <si>
    <t>Scomberomorus guttatus</t>
  </si>
  <si>
    <t>ALS</t>
  </si>
  <si>
    <t>Carcharhinus albimarginatus</t>
  </si>
  <si>
    <t>ISR</t>
  </si>
  <si>
    <t>ALV</t>
  </si>
  <si>
    <t>Alopias vulpinus</t>
  </si>
  <si>
    <t>JPN</t>
  </si>
  <si>
    <t>BSH</t>
  </si>
  <si>
    <t>Prionace glauca</t>
  </si>
  <si>
    <t>JOR</t>
  </si>
  <si>
    <t>BTH</t>
  </si>
  <si>
    <t>Alopias superciliosus</t>
  </si>
  <si>
    <t>KEN</t>
  </si>
  <si>
    <t>CCP</t>
  </si>
  <si>
    <t>Carcharhinus plumbeus</t>
  </si>
  <si>
    <t>KWT</t>
  </si>
  <si>
    <t>FAL</t>
  </si>
  <si>
    <t>Carcharhinus falciformis</t>
  </si>
  <si>
    <t>MDG</t>
  </si>
  <si>
    <t>LMA</t>
  </si>
  <si>
    <t>Isurus paucus</t>
  </si>
  <si>
    <t>MYS</t>
  </si>
  <si>
    <t>OCS</t>
  </si>
  <si>
    <t>Carcharhinus longimanus</t>
  </si>
  <si>
    <t>MDV</t>
  </si>
  <si>
    <t>POR</t>
  </si>
  <si>
    <t>Lamna nasus</t>
  </si>
  <si>
    <t>MUS</t>
  </si>
  <si>
    <t>PSK</t>
  </si>
  <si>
    <t>Pseudocarcharias kamoharai</t>
  </si>
  <si>
    <t>MOZ</t>
  </si>
  <si>
    <t>PTH</t>
  </si>
  <si>
    <t>Alopias pelagicus</t>
  </si>
  <si>
    <t>RHN</t>
  </si>
  <si>
    <t>Rhincodon typus</t>
  </si>
  <si>
    <t>OMN</t>
  </si>
  <si>
    <t>SMA</t>
  </si>
  <si>
    <t>Isurus oxyrinchus</t>
  </si>
  <si>
    <t>PAK</t>
  </si>
  <si>
    <t>SPL</t>
  </si>
  <si>
    <t>Sphyrna lewini</t>
  </si>
  <si>
    <t>PHL</t>
  </si>
  <si>
    <t>TIG</t>
  </si>
  <si>
    <t>Galeocerdo cuvier</t>
  </si>
  <si>
    <t>QAT</t>
  </si>
  <si>
    <t>WSH</t>
  </si>
  <si>
    <t>Carcharodon carcharias</t>
  </si>
  <si>
    <t>SAU</t>
  </si>
  <si>
    <t>RMB</t>
  </si>
  <si>
    <t>SEN</t>
  </si>
  <si>
    <t>OXY</t>
  </si>
  <si>
    <t>Oxynotus centrina</t>
  </si>
  <si>
    <t>SYC</t>
  </si>
  <si>
    <t>MTM</t>
  </si>
  <si>
    <t>Mustelus mosis</t>
  </si>
  <si>
    <t>Halaelurus lineatus</t>
  </si>
  <si>
    <t>ODH</t>
  </si>
  <si>
    <t>Odontaspis noronhai</t>
  </si>
  <si>
    <t>ZAF</t>
  </si>
  <si>
    <t>BLR</t>
  </si>
  <si>
    <t>Carcharhinus melanopterus</t>
  </si>
  <si>
    <t>KOR</t>
  </si>
  <si>
    <t>CCL</t>
  </si>
  <si>
    <t>Carcharhinus limbatus</t>
  </si>
  <si>
    <t>LKA</t>
  </si>
  <si>
    <t>NTC</t>
  </si>
  <si>
    <t>Notorynchus cepedianus</t>
  </si>
  <si>
    <t>SDN</t>
  </si>
  <si>
    <t>BRO</t>
  </si>
  <si>
    <t>Carcharhinus brachyurus</t>
  </si>
  <si>
    <t>TZA</t>
  </si>
  <si>
    <t>DUS</t>
  </si>
  <si>
    <t>Carcharhinus obscurus</t>
  </si>
  <si>
    <t>THA</t>
  </si>
  <si>
    <t>CCG</t>
  </si>
  <si>
    <t>Carcharhinus galapagensis</t>
  </si>
  <si>
    <t>TMP</t>
  </si>
  <si>
    <t>ORR</t>
  </si>
  <si>
    <t>Chiloscyllium griseum</t>
  </si>
  <si>
    <t>ARE</t>
  </si>
  <si>
    <t>AML</t>
  </si>
  <si>
    <t>Carcharhinus amblyrhynchos</t>
  </si>
  <si>
    <t>GBRT</t>
  </si>
  <si>
    <t>CCM</t>
  </si>
  <si>
    <t>Carcharhinus macloti</t>
  </si>
  <si>
    <t>URY</t>
  </si>
  <si>
    <t>SCK</t>
  </si>
  <si>
    <t>Dalatias licha</t>
  </si>
  <si>
    <t>VUT</t>
  </si>
  <si>
    <t>CPU</t>
  </si>
  <si>
    <t>Centrophorus uyato</t>
  </si>
  <si>
    <t>YEM</t>
  </si>
  <si>
    <t>CYT</t>
  </si>
  <si>
    <t>Centroscyllium ornatum</t>
  </si>
  <si>
    <t>DOP</t>
  </si>
  <si>
    <t>Squalus megalops</t>
  </si>
  <si>
    <t>BS</t>
  </si>
  <si>
    <t>ORI</t>
  </si>
  <si>
    <t>Chiloscyllium indicum</t>
  </si>
  <si>
    <t>CN</t>
  </si>
  <si>
    <t>CLD</t>
  </si>
  <si>
    <t>Loxodon macrorhinus</t>
  </si>
  <si>
    <t>DS</t>
  </si>
  <si>
    <t>CEM</t>
  </si>
  <si>
    <t>Centrophorus moluccensis</t>
  </si>
  <si>
    <t>GI</t>
  </si>
  <si>
    <t>SPZ</t>
  </si>
  <si>
    <t>Sphyrna zygaena</t>
  </si>
  <si>
    <t>GIDR</t>
  </si>
  <si>
    <t>SMD</t>
  </si>
  <si>
    <t>Mustelus mustelus</t>
  </si>
  <si>
    <t>GIOF</t>
  </si>
  <si>
    <t>SLA</t>
  </si>
  <si>
    <t>Scoliodon laticaudus</t>
  </si>
  <si>
    <t>HL</t>
  </si>
  <si>
    <t>Carcharhinus brevipinna</t>
  </si>
  <si>
    <t>HLLS</t>
  </si>
  <si>
    <t>CCQ</t>
  </si>
  <si>
    <t>Carcharhinus sorrah</t>
  </si>
  <si>
    <t>HR</t>
  </si>
  <si>
    <t>ORZ</t>
  </si>
  <si>
    <t>Nebrius ferrugineus</t>
  </si>
  <si>
    <t>LL</t>
  </si>
  <si>
    <t>GAG</t>
  </si>
  <si>
    <t>Galeorhinus galeus</t>
  </si>
  <si>
    <t>LLCO</t>
  </si>
  <si>
    <t>SSQ</t>
  </si>
  <si>
    <t>Zameus squamulosus</t>
  </si>
  <si>
    <t>LLEX</t>
  </si>
  <si>
    <t>CCD</t>
  </si>
  <si>
    <t>Carcharhinus dussumieri</t>
  </si>
  <si>
    <t>LLFR</t>
  </si>
  <si>
    <t>RHA</t>
  </si>
  <si>
    <t>Rhizoprionodon acutus</t>
  </si>
  <si>
    <t>LLGI</t>
  </si>
  <si>
    <t>OSF</t>
  </si>
  <si>
    <t>Stegostoma fasciatum</t>
  </si>
  <si>
    <t>LLSI</t>
  </si>
  <si>
    <t>HXT</t>
  </si>
  <si>
    <t>Heptranchias perlo</t>
  </si>
  <si>
    <t>LLSK</t>
  </si>
  <si>
    <t>SBL</t>
  </si>
  <si>
    <t>Hexanchus griseus</t>
  </si>
  <si>
    <t>LLSW</t>
  </si>
  <si>
    <t>HXN</t>
  </si>
  <si>
    <t>Hexanchus nakamurai</t>
  </si>
  <si>
    <t>LLTU</t>
  </si>
  <si>
    <t>LN</t>
  </si>
  <si>
    <t>RMJ</t>
  </si>
  <si>
    <t>Mobula japanica</t>
  </si>
  <si>
    <t>PL</t>
  </si>
  <si>
    <t>RMO</t>
  </si>
  <si>
    <t>Mobula thurstoni</t>
  </si>
  <si>
    <t>PLIN</t>
  </si>
  <si>
    <t>BAU</t>
  </si>
  <si>
    <t>Sarda australis</t>
  </si>
  <si>
    <t>PLME</t>
  </si>
  <si>
    <t>Sphyraena spp</t>
  </si>
  <si>
    <t>PLNM</t>
  </si>
  <si>
    <t>ESCL</t>
  </si>
  <si>
    <t>Lepidocybium flavobrunneum</t>
  </si>
  <si>
    <t>PLOF</t>
  </si>
  <si>
    <t>MAA</t>
  </si>
  <si>
    <t>Scomber australasicus</t>
  </si>
  <si>
    <t>PS</t>
  </si>
  <si>
    <t>BUK</t>
  </si>
  <si>
    <t>Gasterochisma melampus</t>
  </si>
  <si>
    <t>PSFS</t>
  </si>
  <si>
    <t>DOL</t>
  </si>
  <si>
    <t>Coryphaena hippurus</t>
  </si>
  <si>
    <t>PSLS</t>
  </si>
  <si>
    <t>DOT</t>
  </si>
  <si>
    <t>Gymnosarda unicolor</t>
  </si>
  <si>
    <t>PSPA</t>
  </si>
  <si>
    <t>DBM</t>
  </si>
  <si>
    <t>Grammatorcynus bilineatus</t>
  </si>
  <si>
    <t>PSRN</t>
  </si>
  <si>
    <t>AMB</t>
  </si>
  <si>
    <t>Seriola dumerili</t>
  </si>
  <si>
    <t>PSRP</t>
  </si>
  <si>
    <t>RAG</t>
  </si>
  <si>
    <t>Rastrelliger kanagurta</t>
  </si>
  <si>
    <t>KAK</t>
  </si>
  <si>
    <t>Scomberomorus plurilineatus</t>
  </si>
  <si>
    <t>PSSS</t>
  </si>
  <si>
    <t>KOS</t>
  </si>
  <si>
    <t>Scomberomorus koreanus</t>
  </si>
  <si>
    <t>SN</t>
  </si>
  <si>
    <t>SPF</t>
  </si>
  <si>
    <t>Tetrapturus pfluegeri</t>
  </si>
  <si>
    <t>SP</t>
  </si>
  <si>
    <t>OIL</t>
  </si>
  <si>
    <t>Ruvettus pretiosus</t>
  </si>
  <si>
    <t>TL</t>
  </si>
  <si>
    <t>LAG</t>
  </si>
  <si>
    <t>Lampris guttatus</t>
  </si>
  <si>
    <t>TLME</t>
  </si>
  <si>
    <t>SAP</t>
  </si>
  <si>
    <t>Cololabis saira</t>
  </si>
  <si>
    <t>TLNM</t>
  </si>
  <si>
    <t>BRA</t>
  </si>
  <si>
    <t>Brama spp</t>
  </si>
  <si>
    <t>TP</t>
  </si>
  <si>
    <t>CFW</t>
  </si>
  <si>
    <t>Coryphaena equiselis</t>
  </si>
  <si>
    <t>TR</t>
  </si>
  <si>
    <t>RRU</t>
  </si>
  <si>
    <t>Elagatis bipinnulata</t>
  </si>
  <si>
    <t>RCPR</t>
  </si>
  <si>
    <t>SSP</t>
  </si>
  <si>
    <t>Tetrapturus angustirostris</t>
  </si>
  <si>
    <t>RCCS</t>
  </si>
  <si>
    <t>STS</t>
  </si>
  <si>
    <t>Scomberomorus lineolatus</t>
  </si>
  <si>
    <t>RCPA</t>
  </si>
  <si>
    <t>BIP</t>
  </si>
  <si>
    <t>Sarda orientalis</t>
  </si>
  <si>
    <t>RCRS</t>
  </si>
  <si>
    <t>WAH</t>
  </si>
  <si>
    <t>Acanthocybium solandri</t>
  </si>
  <si>
    <t>RCOB</t>
  </si>
  <si>
    <t>RCNO</t>
  </si>
  <si>
    <t>RCTE</t>
  </si>
  <si>
    <t>RCLG</t>
  </si>
  <si>
    <t>RCLS</t>
  </si>
  <si>
    <t>RCSB</t>
  </si>
  <si>
    <t>RCES</t>
  </si>
  <si>
    <t>RCSS</t>
  </si>
  <si>
    <t>UP</t>
  </si>
  <si>
    <t>UR</t>
  </si>
  <si>
    <t>US</t>
  </si>
  <si>
    <t>UT</t>
  </si>
  <si>
    <t>UU</t>
  </si>
  <si>
    <t>B0</t>
  </si>
  <si>
    <t>B1</t>
  </si>
  <si>
    <t>B3</t>
  </si>
  <si>
    <t>B7</t>
  </si>
  <si>
    <t>B9</t>
  </si>
  <si>
    <t>T0</t>
  </si>
  <si>
    <t>T1</t>
  </si>
  <si>
    <t>T3</t>
  </si>
  <si>
    <t>T7</t>
  </si>
  <si>
    <t>T9</t>
  </si>
  <si>
    <t>N0</t>
  </si>
  <si>
    <t>N1</t>
  </si>
  <si>
    <t>N3</t>
  </si>
  <si>
    <t>N7</t>
  </si>
  <si>
    <t>N9</t>
  </si>
  <si>
    <t>W0</t>
  </si>
  <si>
    <t>W1</t>
  </si>
  <si>
    <t>W3</t>
  </si>
  <si>
    <t>W7</t>
  </si>
  <si>
    <t>W9</t>
  </si>
  <si>
    <t>CODE</t>
  </si>
  <si>
    <t>FLAGCOUNTRY</t>
  </si>
  <si>
    <t>DATASOURCES</t>
  </si>
  <si>
    <t>DATAPROCESSING</t>
  </si>
  <si>
    <t>TARGETSPECIES</t>
  </si>
  <si>
    <t>SPECIES</t>
  </si>
  <si>
    <t xml:space="preserve">         AFFICHER FORMULAIRE EN FRANÇAIS</t>
  </si>
  <si>
    <t>ENGLISH_I_ANGLAIS</t>
  </si>
  <si>
    <t>FRANÇAIS_I_FRENCH</t>
  </si>
  <si>
    <t>NOM</t>
  </si>
  <si>
    <t>NO. TELEPHONE</t>
  </si>
  <si>
    <t>Pavillon D’Origine</t>
  </si>
  <si>
    <t>Unité de Capture</t>
  </si>
  <si>
    <t>Pêcherie</t>
  </si>
  <si>
    <t>ZONE CTOI</t>
  </si>
  <si>
    <t>SOURCE DES DONNEES</t>
  </si>
  <si>
    <t xml:space="preserve"> Traitement de l'information</t>
  </si>
  <si>
    <t>Espèce  Cible</t>
  </si>
  <si>
    <t>Couverture</t>
  </si>
  <si>
    <t>Espèce</t>
  </si>
  <si>
    <t>CONTACT</t>
  </si>
  <si>
    <t>Tuna Statistics in the Indian Ocean</t>
  </si>
  <si>
    <t>Statistiques Thonières dans l’Océan Indien</t>
  </si>
  <si>
    <t>(Fleets Providing Logbook Information)</t>
  </si>
  <si>
    <t>(Flottilles fournissant des Cahiers de Pêche)</t>
  </si>
  <si>
    <t>DISPLAY LISTS IN</t>
  </si>
  <si>
    <t>SUBMISSION</t>
  </si>
  <si>
    <t>SOUMISSION</t>
  </si>
  <si>
    <t>GENERAL INFORMATION</t>
  </si>
  <si>
    <t>FORMULAIRE CTOI 1: CAPTURES NOMINALES</t>
  </si>
  <si>
    <t>IOTC FORM 1: NOMINAL CATCH</t>
  </si>
  <si>
    <t>MT</t>
  </si>
  <si>
    <t>CATCHUNIT</t>
  </si>
  <si>
    <t>TYPE OF  DATA</t>
  </si>
  <si>
    <t>FIN</t>
  </si>
  <si>
    <t>PRE</t>
  </si>
  <si>
    <t>TSPC</t>
  </si>
  <si>
    <t>DSO</t>
  </si>
  <si>
    <t>DPR</t>
  </si>
  <si>
    <t>COV</t>
  </si>
  <si>
    <t>FLG</t>
  </si>
  <si>
    <t>FIS</t>
  </si>
  <si>
    <t>SPC</t>
  </si>
  <si>
    <t>CUN</t>
  </si>
  <si>
    <t>NC</t>
  </si>
  <si>
    <t>ENGLISH DESCRIPTION</t>
  </si>
  <si>
    <t>DESCRIPTION français</t>
  </si>
  <si>
    <t>Close table and return to Form</t>
  </si>
  <si>
    <t>Please, affirm the level of precision for the data input in form NC</t>
  </si>
  <si>
    <t>Sil vous plait, confirmer le niveau de précison pour les données dans forme NC</t>
  </si>
  <si>
    <t>Feuille</t>
  </si>
  <si>
    <t>Sheet</t>
  </si>
  <si>
    <r>
      <t>Nominal Catch</t>
    </r>
    <r>
      <rPr>
        <sz val="10"/>
        <rFont val="Arial"/>
        <family val="2"/>
      </rPr>
      <t xml:space="preserve"> - Form for data input</t>
    </r>
  </si>
  <si>
    <r>
      <t>Target Species</t>
    </r>
    <r>
      <rPr>
        <sz val="10"/>
        <rFont val="Arial"/>
        <family val="2"/>
      </rPr>
      <t xml:space="preserve"> - List of species considered as main target</t>
    </r>
  </si>
  <si>
    <r>
      <t>Data Sources</t>
    </r>
    <r>
      <rPr>
        <sz val="10"/>
        <rFont val="Arial"/>
        <family val="2"/>
      </rPr>
      <t xml:space="preserve"> - Sources of information for Estimating Statistics</t>
    </r>
  </si>
  <si>
    <r>
      <t>Data Processing</t>
    </r>
    <r>
      <rPr>
        <sz val="10"/>
        <rFont val="Arial"/>
        <family val="2"/>
      </rPr>
      <t xml:space="preserve"> - Type of processing used as Estimation method (table 14)</t>
    </r>
  </si>
  <si>
    <r>
      <t>Coverage</t>
    </r>
    <r>
      <rPr>
        <sz val="10"/>
        <rFont val="Arial"/>
        <family val="2"/>
      </rPr>
      <t xml:space="preserve"> - The proportion of catch monitored out of the total catch</t>
    </r>
  </si>
  <si>
    <r>
      <t>Flag</t>
    </r>
    <r>
      <rPr>
        <sz val="10"/>
        <rFont val="Arial"/>
        <family val="2"/>
      </rPr>
      <t xml:space="preserve"> - Flags of countries</t>
    </r>
  </si>
  <si>
    <r>
      <t>Fishery</t>
    </r>
    <r>
      <rPr>
        <sz val="10"/>
        <rFont val="Arial"/>
        <family val="2"/>
      </rPr>
      <t xml:space="preserve"> - Types of fisheries and operation used</t>
    </r>
  </si>
  <si>
    <r>
      <t>Species</t>
    </r>
    <r>
      <rPr>
        <sz val="10"/>
        <rFont val="Arial"/>
        <family val="2"/>
      </rPr>
      <t xml:space="preserve"> -List of species </t>
    </r>
  </si>
  <si>
    <r>
      <t>Area</t>
    </r>
    <r>
      <rPr>
        <sz val="10"/>
        <rFont val="Arial"/>
        <family val="2"/>
      </rPr>
      <t xml:space="preserve"> - Area operated</t>
    </r>
  </si>
  <si>
    <r>
      <t>Catch Units</t>
    </r>
    <r>
      <rPr>
        <sz val="10"/>
        <rFont val="Arial"/>
        <family val="2"/>
      </rPr>
      <t xml:space="preserve"> - Units of catch used</t>
    </r>
  </si>
  <si>
    <r>
      <t>Captures Nominales</t>
    </r>
    <r>
      <rPr>
        <sz val="10"/>
        <rFont val="Arial"/>
        <family val="2"/>
      </rPr>
      <t xml:space="preserve"> - Formulaire pour la saisie des données</t>
    </r>
  </si>
  <si>
    <r>
      <t>Espèce  Cible</t>
    </r>
    <r>
      <rPr>
        <sz val="12"/>
        <rFont val="Times New Roman"/>
        <family val="1"/>
      </rPr>
      <t xml:space="preserve"> - Liste des espèces considérées comme cible principale</t>
    </r>
  </si>
  <si>
    <r>
      <t>Source Des Données</t>
    </r>
    <r>
      <rPr>
        <sz val="10"/>
        <rFont val="Arial"/>
        <family val="2"/>
      </rPr>
      <t xml:space="preserve"> - Sources d'information pour l'estimation des statistiques</t>
    </r>
  </si>
  <si>
    <r>
      <t xml:space="preserve">Traitement de l'information </t>
    </r>
    <r>
      <rPr>
        <sz val="10"/>
        <rFont val="Arial"/>
        <family val="2"/>
      </rPr>
      <t>- Type de traitement utilisé comme méthode d'estimation (tableau 14)</t>
    </r>
  </si>
  <si>
    <r>
      <t>Couverture</t>
    </r>
    <r>
      <rPr>
        <sz val="10"/>
        <rFont val="Arial"/>
        <family val="2"/>
      </rPr>
      <t xml:space="preserve"> - La proportion de captures de suivi de la capture totale</t>
    </r>
  </si>
  <si>
    <r>
      <t>Pavillon</t>
    </r>
    <r>
      <rPr>
        <sz val="10"/>
        <rFont val="Arial"/>
        <family val="2"/>
      </rPr>
      <t xml:space="preserve"> - Pavillon des pays</t>
    </r>
  </si>
  <si>
    <r>
      <t>Pêcherie</t>
    </r>
    <r>
      <rPr>
        <sz val="10"/>
        <rFont val="Arial"/>
        <family val="2"/>
      </rPr>
      <t xml:space="preserve"> - </t>
    </r>
    <r>
      <rPr>
        <i/>
        <sz val="10"/>
        <rFont val="Arial"/>
        <family val="2"/>
      </rPr>
      <t>Type des pêcheries et des operation utilisés</t>
    </r>
  </si>
  <si>
    <r>
      <t>Espèce</t>
    </r>
    <r>
      <rPr>
        <sz val="10"/>
        <rFont val="Arial"/>
        <family val="2"/>
      </rPr>
      <t xml:space="preserve"> - Liste des espèces</t>
    </r>
  </si>
  <si>
    <r>
      <t>ZONE CTOI</t>
    </r>
    <r>
      <rPr>
        <sz val="10"/>
        <rFont val="Arial"/>
        <family val="2"/>
      </rPr>
      <t xml:space="preserve"> - Zones des pêche</t>
    </r>
  </si>
  <si>
    <r>
      <t>Unités de Capture</t>
    </r>
    <r>
      <rPr>
        <sz val="10"/>
        <rFont val="Arial"/>
        <family val="2"/>
      </rPr>
      <t xml:space="preserve"> - Unités untilisé pour le capture</t>
    </r>
  </si>
  <si>
    <t xml:space="preserve">THE TABLE BELOW CONTAINS LINKS TO SEPARATE WORKSHEETS, EACH CONTAINING LISTS OF IOTC CODES AND ENGLISH AND FRENCH DESCRIPTIONS, TO BE USED WHEN INPUTTING DATA IN THE FORM. </t>
  </si>
  <si>
    <t>LE TABLEAU CI DESSOUS CONTIENT LES LIENS POUR LES DIFFERENTES FEUILLES, CONTENANT LES LISTES DES CODES DE LA CTOI ET LEUR DESCRIPTION EN ANGLAIS ET EN FRANCAIS, A UTILISER LORS DE LA SAISIE DES DONNEES DANS LE FORMULAIRE.</t>
  </si>
  <si>
    <t>NOTE THAT THE IOTC CODE LISTS ARE NOT COMPREHENSIVE IN ALL CASES. REFER TO THE DOCUMENT "GENERAL NOTES ON THE USE OF IOTC FORMS" FOR MORE INFORMATION ABOUT HOW TO INPUT NEW CODES AND USE THEM IN THE FORM</t>
  </si>
  <si>
    <t xml:space="preserve">NOTEZ QUE LES LISTES CTOI NE SONT PAS TOUJOURS COMPLETES. VEUILLEZ VOUS REFEREZ AU DOCUMENT "REMARQUES GENERALES SUR L'UTILISATION DES FORMULAIRES CTOI" SUR LA FACON D'UTILISER LES NOUVEAUX CODES DANS LES FORMULAIRES. </t>
  </si>
  <si>
    <t xml:space="preserve">CLICK ON THE CODE TABLE CONCERNED (COLUMN PAGE) TO MOVE TO THE WORKSHEET OF YOUR CHOICE. </t>
  </si>
  <si>
    <t>CLIQUEZ SUR LA TABLE DE CODE CONCERNEE (PAGE COLONNE) AFIN D'ALLER SUR LA PAGE DE VOTRE CHOIX</t>
  </si>
  <si>
    <t>Additional details on the type of information required and on the use of IOTC forms is presented in two separate documents:</t>
  </si>
  <si>
    <t>Vous trouverez des détails supplémentaires sur le type d’informations requises et sur l’utilisation des formulaires CTOI dans les deux documents :</t>
  </si>
  <si>
    <t>AFFICHER LES LISTES EN</t>
  </si>
  <si>
    <t>PAYS DECLARANT</t>
  </si>
  <si>
    <t>PAVILLON D’ORIGINE</t>
  </si>
  <si>
    <t>ANNÉE</t>
  </si>
  <si>
    <t>UNITÉ DE CAPTURE</t>
  </si>
  <si>
    <t>COMMENTAIRES</t>
  </si>
  <si>
    <t>PÊCHERIE</t>
  </si>
  <si>
    <t>TRAITEMENT DE L'INFORMATION</t>
  </si>
  <si>
    <t>ESPÈCE CIBLE</t>
  </si>
  <si>
    <t>COUVERTURE</t>
  </si>
  <si>
    <t>ESPÈCE</t>
  </si>
  <si>
    <t>INFORMATION GÉNÉRALES</t>
  </si>
  <si>
    <t>TYPE OF DATA (FIN: Final; PRE: Preliminary)</t>
  </si>
  <si>
    <t>TYPE DE DONNEES (FIN: Finale; PRE: Preliminaire)</t>
  </si>
  <si>
    <r>
      <t xml:space="preserve"> -Refer to the document</t>
    </r>
    <r>
      <rPr>
        <u/>
        <sz val="10"/>
        <color indexed="12"/>
        <rFont val="Arial"/>
        <family val="2"/>
      </rPr>
      <t xml:space="preserve"> "GUIDELINES FOR THE REPORTING OF FISHERIES STATISTICS TO THE IOTC" </t>
    </r>
    <r>
      <rPr>
        <sz val="10"/>
        <rFont val="Arial"/>
        <family val="2"/>
      </rPr>
      <t>for more information about IOTC data requirements.</t>
    </r>
  </si>
  <si>
    <r>
      <t xml:space="preserve"> -Refer to the document</t>
    </r>
    <r>
      <rPr>
        <u/>
        <sz val="10"/>
        <color indexed="12"/>
        <rFont val="Arial"/>
        <family val="2"/>
      </rPr>
      <t xml:space="preserve"> "GENERAL NOTES ON THE USE OF IOTC FORMS" </t>
    </r>
    <r>
      <rPr>
        <sz val="10"/>
        <rFont val="Arial"/>
        <family val="2"/>
      </rPr>
      <t>if this is the first time that you use IOTC Forms. This document is intended to guide you through when using the IOTC Excel Forms.</t>
    </r>
  </si>
  <si>
    <r>
      <t xml:space="preserve"> -Veuillez vous référer au document </t>
    </r>
    <r>
      <rPr>
        <u/>
        <sz val="10"/>
        <color indexed="12"/>
        <rFont val="Arial"/>
        <family val="2"/>
      </rPr>
      <t>« DIRECTIVES POUR LA DECLARATION DES STATISTIQUES DES PECHES A LA CTOI »</t>
    </r>
    <r>
      <rPr>
        <sz val="10"/>
        <rFont val="Arial"/>
        <family val="2"/>
      </rPr>
      <t xml:space="preserve"> pour plus d’informations sur les données exigibles.</t>
    </r>
  </si>
  <si>
    <r>
      <t xml:space="preserve"> -Veuillez vous référer au document </t>
    </r>
    <r>
      <rPr>
        <u/>
        <sz val="10"/>
        <color indexed="12"/>
        <rFont val="Arial"/>
        <family val="2"/>
      </rPr>
      <t xml:space="preserve">« REMARQUES GENERALES SUR L’UTILISATION DES FORMULAIRES CTOI » </t>
    </r>
    <r>
      <rPr>
        <sz val="10"/>
        <rFont val="Arial"/>
        <family val="2"/>
      </rPr>
      <t>si c’est la première fois que vous utilisez les formulaires CTOI. Ce document vous guidera lors de l’utilisation des formulaires Excel de la CTOI.</t>
    </r>
  </si>
  <si>
    <t>ALB-Albacore</t>
  </si>
  <si>
    <t>ALB-Germon</t>
  </si>
  <si>
    <t>ALS-Silvertip shark</t>
  </si>
  <si>
    <t>ALS-Requin pointe blanche</t>
  </si>
  <si>
    <t>ALV-Thresher Shark</t>
  </si>
  <si>
    <t>ALV-Renard</t>
  </si>
  <si>
    <t>AMB-Greater amberjack</t>
  </si>
  <si>
    <t>AMB-Sériole couronnée</t>
  </si>
  <si>
    <t>AML-Grey Reef Shark</t>
  </si>
  <si>
    <t>AML-Requin dagsit</t>
  </si>
  <si>
    <t>BAU-Australian bonito</t>
  </si>
  <si>
    <t>BAU-Bonite bagnard</t>
  </si>
  <si>
    <t>BET-Bigeye tuna</t>
  </si>
  <si>
    <t>BET-Patudo; Thon obèse</t>
  </si>
  <si>
    <t>BIP-Striped bonito</t>
  </si>
  <si>
    <t>BLM-Black Marlin</t>
  </si>
  <si>
    <t>BLM-Makaire noir</t>
  </si>
  <si>
    <t>BLR-Blacktip reef shark</t>
  </si>
  <si>
    <t>BLR-Requin pointes noires</t>
  </si>
  <si>
    <t>BLT-Bullet tuna</t>
  </si>
  <si>
    <t>BLT-Bonitou</t>
  </si>
  <si>
    <t>BRA-Pomfrets nei</t>
  </si>
  <si>
    <t>BRO-Copper shark</t>
  </si>
  <si>
    <t>BRO-Requin cuivre</t>
  </si>
  <si>
    <t>BSH-Blue shark</t>
  </si>
  <si>
    <t>BSH-Peau bleue</t>
  </si>
  <si>
    <t>BTH-Bigeye thresher</t>
  </si>
  <si>
    <t>BUK-Butterfly kingfish</t>
  </si>
  <si>
    <t>BUK-Thon papillon</t>
  </si>
  <si>
    <t>BUM-Blue Marlin</t>
  </si>
  <si>
    <t>BUM-Makaire bleu</t>
  </si>
  <si>
    <t>CCD-Whitecheek shark</t>
  </si>
  <si>
    <t>CCD-Requin joues blanches</t>
  </si>
  <si>
    <t>CCG-Galapagos shark</t>
  </si>
  <si>
    <t>CCG-Requin des Galapagos</t>
  </si>
  <si>
    <t>CCL-Blacktip shark</t>
  </si>
  <si>
    <t>CCL-Requin bordé</t>
  </si>
  <si>
    <t>CCM-Hardnose shark</t>
  </si>
  <si>
    <t>CCP-Sandbar shark</t>
  </si>
  <si>
    <t>CCP-Requin gris</t>
  </si>
  <si>
    <t>CCQ-Spot-tail shark</t>
  </si>
  <si>
    <t>CCQ-Requin queue tachet</t>
  </si>
  <si>
    <t>CEM-Smallfin gulper shark</t>
  </si>
  <si>
    <t>CFW-Pompano dolphinfish</t>
  </si>
  <si>
    <t>CFW-Dorade</t>
  </si>
  <si>
    <t>CLD-Sliteye shark</t>
  </si>
  <si>
    <t>COM-Narrow-barred Spanish mackerel</t>
  </si>
  <si>
    <t>COM-Thazard rayé indo-pacifique</t>
  </si>
  <si>
    <t>CPU-Little gulper shark</t>
  </si>
  <si>
    <t>CYT-Ornate dogfish</t>
  </si>
  <si>
    <t>DBM-Double-lined mackerel</t>
  </si>
  <si>
    <t>DBM-Thazard-kusara</t>
  </si>
  <si>
    <t>DOL-Common dolphinfish</t>
  </si>
  <si>
    <t>DOL-Coryphène commune</t>
  </si>
  <si>
    <t>DOP-Shortnose spurdog</t>
  </si>
  <si>
    <t>DOP-Aiguillat nez court</t>
  </si>
  <si>
    <t>DOT-Dogtooth tuna</t>
  </si>
  <si>
    <t>DOT-Bonite à gros yeux</t>
  </si>
  <si>
    <t>DUS-Dusky shark</t>
  </si>
  <si>
    <t>DUS-Requin de sable</t>
  </si>
  <si>
    <t>ESCL-Black escolar</t>
  </si>
  <si>
    <t>ESCL-Escolier noir</t>
  </si>
  <si>
    <t>FAL-Silky shark</t>
  </si>
  <si>
    <t>FAL-Requin soyeux</t>
  </si>
  <si>
    <t>FRI-Frigate tuna</t>
  </si>
  <si>
    <t>FRI-Auxide</t>
  </si>
  <si>
    <t>GAG-Tope shark</t>
  </si>
  <si>
    <t>GAG-Requin-hâ</t>
  </si>
  <si>
    <t>GUT-Indo-Pacific king mackerel</t>
  </si>
  <si>
    <t>GUT-Thazard ponctué indo-pacifique</t>
  </si>
  <si>
    <t>HXN-Bigeyed sixgill shark</t>
  </si>
  <si>
    <t>HXT-Sharpnose sevengill shark</t>
  </si>
  <si>
    <t>KAK-Kanadi kingfish</t>
  </si>
  <si>
    <t>KAK-Thazard kanadi</t>
  </si>
  <si>
    <t>KAW-Kawakawa</t>
  </si>
  <si>
    <t>KAW-Thonine orientale</t>
  </si>
  <si>
    <t>KOS-Korean seerfish</t>
  </si>
  <si>
    <t>LAG-Opah</t>
  </si>
  <si>
    <t>LMA-Longfin mako</t>
  </si>
  <si>
    <t>LMA-Petite taupe</t>
  </si>
  <si>
    <t>LOT-Longtail tuna</t>
  </si>
  <si>
    <t>LOT-Thon mignon</t>
  </si>
  <si>
    <t>MAA-Blue mackerel</t>
  </si>
  <si>
    <t>MAA-Maquereau tacheté</t>
  </si>
  <si>
    <t>Mobulidae</t>
  </si>
  <si>
    <t>MLS-Striped marlin</t>
  </si>
  <si>
    <t>MLS-Marlin rayé</t>
  </si>
  <si>
    <t>MTM-Arabian smooth-hound</t>
  </si>
  <si>
    <t>NTC-Broadnose sevengill shark</t>
  </si>
  <si>
    <t>NTC-Platnez</t>
  </si>
  <si>
    <t>OCS-Oceanic whitetip shark</t>
  </si>
  <si>
    <t>OCS-Requin océanique</t>
  </si>
  <si>
    <t>ODH-Bigeye sand tiger shark</t>
  </si>
  <si>
    <t>OIL-Oilfish</t>
  </si>
  <si>
    <t>ORI-Slender bambooshark</t>
  </si>
  <si>
    <t>ORR-Grey bambooshark</t>
  </si>
  <si>
    <t>ORZ-Tawny nurse shark</t>
  </si>
  <si>
    <t>OSF-Zebra shark</t>
  </si>
  <si>
    <t>OXY-Angular rough shark</t>
  </si>
  <si>
    <t>POR-Porbeagle</t>
  </si>
  <si>
    <t>POR-Requin-taupe commun</t>
  </si>
  <si>
    <t>PSK-Crocodile shark</t>
  </si>
  <si>
    <t>PSK-Requin crocodile</t>
  </si>
  <si>
    <t>PTH-Pelagic Thresher Shark</t>
  </si>
  <si>
    <t>RAG-Indian mackerel</t>
  </si>
  <si>
    <t>RAG-Maquereau des Indes</t>
  </si>
  <si>
    <t>RHA-White-eyed shark</t>
  </si>
  <si>
    <t>RHN-Whale shark</t>
  </si>
  <si>
    <t>RMJ-Spinetail mobula</t>
  </si>
  <si>
    <t>RRU-Rainbow runner</t>
  </si>
  <si>
    <t>RRU-Comète saumon</t>
  </si>
  <si>
    <t>SAP-Pacific saury</t>
  </si>
  <si>
    <t>SAP-Saurie</t>
  </si>
  <si>
    <t>SBF-Southern bluefin tuna</t>
  </si>
  <si>
    <t>SBF-Thon rouge du Sud</t>
  </si>
  <si>
    <t>SBL-Bluntnose sixgill shark</t>
  </si>
  <si>
    <t>SBL-Requin griset</t>
  </si>
  <si>
    <t>SCK-Kitefin shark</t>
  </si>
  <si>
    <t>SCK-Squale liche</t>
  </si>
  <si>
    <t>SFA-Indo-Pacific sailfish</t>
  </si>
  <si>
    <t>SFA-Voilier indo-pacifique</t>
  </si>
  <si>
    <t>SKJ-Skipjack tuna</t>
  </si>
  <si>
    <t>SKJ-Listao</t>
  </si>
  <si>
    <t>SLA-Spadenose shark</t>
  </si>
  <si>
    <t>SMA-Shortfin mako</t>
  </si>
  <si>
    <t>SMA-Taupe bleue</t>
  </si>
  <si>
    <t>SMD-Smooth-hound</t>
  </si>
  <si>
    <t>SPF-Longbill spearfish</t>
  </si>
  <si>
    <t>SPF-Makaire à rostre</t>
  </si>
  <si>
    <t>SPL-Scalloped hammerhead</t>
  </si>
  <si>
    <t>SPL-Requin marteau halicorne</t>
  </si>
  <si>
    <t>SPZ-Smooth hammerhead</t>
  </si>
  <si>
    <t>SPZ-Requin marteau commun</t>
  </si>
  <si>
    <t>SSP-Short-billed spearfish</t>
  </si>
  <si>
    <t>SSP-Makaire à rostre court</t>
  </si>
  <si>
    <t>SSQ-Velvet dogfish</t>
  </si>
  <si>
    <t>STS-Streaked seerfish</t>
  </si>
  <si>
    <t>STS-Thazard cirrus</t>
  </si>
  <si>
    <t>SWO-Swordfish</t>
  </si>
  <si>
    <t>SWO-Espadon</t>
  </si>
  <si>
    <t>Alopias spp.</t>
  </si>
  <si>
    <t>TIG-Tiger shark</t>
  </si>
  <si>
    <t>TIG-Requin tigre commun</t>
  </si>
  <si>
    <t>WAH-Wahoo</t>
  </si>
  <si>
    <t>WSH-Great White shark</t>
  </si>
  <si>
    <t>YFT-Yellowfin tuna</t>
  </si>
  <si>
    <t>BS-Beach seine</t>
  </si>
  <si>
    <t>BS-Senne de plage</t>
  </si>
  <si>
    <t>Artisanal</t>
  </si>
  <si>
    <t>CN-Cast net</t>
  </si>
  <si>
    <t>CN-Épervier</t>
  </si>
  <si>
    <t>DS-Danish seine</t>
  </si>
  <si>
    <t>DS-Senne danoise</t>
  </si>
  <si>
    <t>GI-Gillnet</t>
  </si>
  <si>
    <t>GI-Filet maillant</t>
  </si>
  <si>
    <t>GIDR-Driftnet</t>
  </si>
  <si>
    <t>GIDR-Filet dérivant</t>
  </si>
  <si>
    <t>Industrial</t>
  </si>
  <si>
    <t>GIOF-Offshore gillnet</t>
  </si>
  <si>
    <t>Semi-industrial</t>
  </si>
  <si>
    <t>HL-Handline</t>
  </si>
  <si>
    <t>HL-Ligne à main</t>
  </si>
  <si>
    <t>HLLS-Handline with payao</t>
  </si>
  <si>
    <t>HR-Harpoon</t>
  </si>
  <si>
    <t>HR-Harpon</t>
  </si>
  <si>
    <t>LL-Drifting longline (over 1800 hooks)</t>
  </si>
  <si>
    <t>LLCO-Petite palangre</t>
  </si>
  <si>
    <t>LLEX-Drifting longline (exploratory)</t>
  </si>
  <si>
    <t>LLFR-Drifting longline (up to 1800 hooks)</t>
  </si>
  <si>
    <t>LLSI-Swordfish longline (semi-industrial)</t>
  </si>
  <si>
    <t>LLSK-Shark longline</t>
  </si>
  <si>
    <t>LLSW-Swordfish longline (Florida longline)</t>
  </si>
  <si>
    <t>LLTU-Tuna longline</t>
  </si>
  <si>
    <t>LN-Liftnet</t>
  </si>
  <si>
    <t>LN-Carrelet</t>
  </si>
  <si>
    <t>PL-Pole and line</t>
  </si>
  <si>
    <t>PLIN-Industrial pole and line</t>
  </si>
  <si>
    <t>PLME-Pole and line (mechanized boats)</t>
  </si>
  <si>
    <t>PLNM-Pole and line (non-mechanized boats)</t>
  </si>
  <si>
    <t>PS-Tuna purse seine</t>
  </si>
  <si>
    <t>PSFS-Free-school tuna purse seine</t>
  </si>
  <si>
    <t>PSLS-Log-school tuna purse seine</t>
  </si>
  <si>
    <t>PSPA-Purse seine with payao</t>
  </si>
  <si>
    <t>PSPA-Senne tournante avec payao</t>
  </si>
  <si>
    <t>PSRN-Ringnet</t>
  </si>
  <si>
    <t>PSRP-Ringnet with payao</t>
  </si>
  <si>
    <t>SN-Setnet</t>
  </si>
  <si>
    <t>SP-Sport fishing</t>
  </si>
  <si>
    <t>SP-Pêche sportive</t>
  </si>
  <si>
    <t>TL-Trolling</t>
  </si>
  <si>
    <t>TLME-Trolling (mechanized boats)</t>
  </si>
  <si>
    <t>TLNM-Trolling (non-mechanized boats)</t>
  </si>
  <si>
    <t>TP-Trap</t>
  </si>
  <si>
    <t>TP-Madragues</t>
  </si>
  <si>
    <t>TR-Trawl</t>
  </si>
  <si>
    <t>TR-Chaluts</t>
  </si>
  <si>
    <t>ARE-United Arab Emirates</t>
  </si>
  <si>
    <t>ARE-Emirats arabes unies</t>
  </si>
  <si>
    <t>AUS-Australia</t>
  </si>
  <si>
    <t>AUS-Australie</t>
  </si>
  <si>
    <t>BGD-Bangladesh</t>
  </si>
  <si>
    <t>BHR-Bahrain</t>
  </si>
  <si>
    <t>BHR-Bahreïn</t>
  </si>
  <si>
    <t>BLZ-Belize</t>
  </si>
  <si>
    <t>CHN-China</t>
  </si>
  <si>
    <t>CHN-Chine</t>
  </si>
  <si>
    <t>COM-Comoros</t>
  </si>
  <si>
    <t>COM-Comores</t>
  </si>
  <si>
    <t>DJI-Djibouti</t>
  </si>
  <si>
    <t>EGY-Egypt</t>
  </si>
  <si>
    <t>EGY-Egypte</t>
  </si>
  <si>
    <t>ERI-Eritrea</t>
  </si>
  <si>
    <t>ERI-Erythrée</t>
  </si>
  <si>
    <t>FRAT-France OT</t>
  </si>
  <si>
    <t>FRAT-France TOM</t>
  </si>
  <si>
    <t>GBRT-United Kingdom OT</t>
  </si>
  <si>
    <t>GIN-Guinea</t>
  </si>
  <si>
    <t>GIN-Guinée</t>
  </si>
  <si>
    <t>IDN-Indonesia</t>
  </si>
  <si>
    <t>IDN-Indonésie</t>
  </si>
  <si>
    <t>IND-India</t>
  </si>
  <si>
    <t>IND-Inde</t>
  </si>
  <si>
    <t>ISR-Israel</t>
  </si>
  <si>
    <t>ISR-Israël</t>
  </si>
  <si>
    <t>JOR-Jordan</t>
  </si>
  <si>
    <t>JOR-Jordanie</t>
  </si>
  <si>
    <t>JPN-Japan</t>
  </si>
  <si>
    <t>JPN-Japon</t>
  </si>
  <si>
    <t>KEN-Kenya</t>
  </si>
  <si>
    <t>KWT-Kuwait</t>
  </si>
  <si>
    <t>KWT-Koweït</t>
  </si>
  <si>
    <t>LKA-Sri Lanka</t>
  </si>
  <si>
    <t>MDG-Madagascar</t>
  </si>
  <si>
    <t>MDV-Maldives</t>
  </si>
  <si>
    <t>MOZ-Mozambique</t>
  </si>
  <si>
    <t>MUS-Mauritius</t>
  </si>
  <si>
    <t>MUS-Maurice</t>
  </si>
  <si>
    <t>MYS-Malaysia</t>
  </si>
  <si>
    <t>MYS-Malaisie</t>
  </si>
  <si>
    <t>OMN-Oman</t>
  </si>
  <si>
    <t>PAK-Pakistan</t>
  </si>
  <si>
    <t>PHL-Philippines</t>
  </si>
  <si>
    <t>QAT-Qatar</t>
  </si>
  <si>
    <t>SAU-Saudi Arabia</t>
  </si>
  <si>
    <t>SAU-Arabie saoudite</t>
  </si>
  <si>
    <t>SDN-Sudan</t>
  </si>
  <si>
    <t>SDN-Soudan</t>
  </si>
  <si>
    <t>SEN-Senegal</t>
  </si>
  <si>
    <t>SEN-Sénégal</t>
  </si>
  <si>
    <t>SYC-Seychelles</t>
  </si>
  <si>
    <t>THA-Thailand</t>
  </si>
  <si>
    <t>THA-Thaïlande</t>
  </si>
  <si>
    <t>TMP-Timor-Leste</t>
  </si>
  <si>
    <t>TWN-Taiwan,China</t>
  </si>
  <si>
    <t>TWN-Taiwan,Chine</t>
  </si>
  <si>
    <t>URY-Uruguay</t>
  </si>
  <si>
    <t>VUT-Vanuatu</t>
  </si>
  <si>
    <t>YEM-Yemen</t>
  </si>
  <si>
    <t>YEM-Yémen</t>
  </si>
  <si>
    <t>ZAF-South Africa</t>
  </si>
  <si>
    <t>YFT-Albacore</t>
  </si>
  <si>
    <t>RCCS-Amounts unloaded / transshipped monitored by The Customs</t>
  </si>
  <si>
    <t>RCCS-Quantités débarquées/transbordées observées par les Douanes</t>
  </si>
  <si>
    <t>RCOB-Amounts unloaded / transshipped monitored by observers (compliance data)</t>
  </si>
  <si>
    <t>RCOB-Quantités débarquées/transbordées observées par des observateurs (données d’application)</t>
  </si>
  <si>
    <t>RCPA-Amounts unloaded / transshipped monitored by Port Authorities or other government offices (compliance data)</t>
  </si>
  <si>
    <t>RCPA-Quantités débarquées/transbordées observées par les autorités portuaires (échantillonnages ou dénombrement total)</t>
  </si>
  <si>
    <t>RCPR-Amounts unloaded / transshipped monitored by the fishing industry (e.g. fishing vessel, canning factory, stevedores, auction hall, processing plants, etc.)</t>
  </si>
  <si>
    <t>RCPR-Quantités débarquées/transbordées observées par l’industrie de la pêche (navires de pêche, conserveries, dockers, criées, usines de transformation…)</t>
  </si>
  <si>
    <t>RCRS-Amounts unloaded / transshipped monitored by staff from research institutions (sampling survey or total enumeration)</t>
  </si>
  <si>
    <t>RCRS-Quantités débarquées/transbordées observées par du personnel d’institutions de recherche (échantillonnages ou dénombrement total)</t>
  </si>
  <si>
    <t>RCES-Retained catches estimated by multiplying average CPUE values obtained through a sample survey (at the landing place) by the total effort recorded in each time-area stratum  (total enumeration of effort in time and space; sampling of catches in time and/or space)</t>
  </si>
  <si>
    <t>RCES-Captures conservées estimées en multipliant les valeurs de PUE moyennes obtenues par échantillonnages (sur les sites de débarquement) par l’effort total enregistré pour chaque strate spatio-temporelle (énumération totale de l’effort dans le temps et l’espace ; échantillonnage des captures dans le temps et/ou l’espace)</t>
  </si>
  <si>
    <t>RCLG-Retained catches estimated by raising the amounts recorded in the vessel logbooks to the total catches unloaded / transshipped for the trip (or alternative time-area strata)</t>
  </si>
  <si>
    <t>RCLG-Captures conservées estimées en extrapolant les quantités consignées sur les fiches de pêche aux captures totales débarquées/transbordées pour la marée (ou pour une strate spatio-temporelle alternative)</t>
  </si>
  <si>
    <t>RCLS-Retained catches estimated by raising the amounts resulting from adjusting the species composition in the logbooks by using the size samples available to the total catches unloaded / transshipped for each trip (or alternative time-area strata)</t>
  </si>
  <si>
    <t>RCLS-Captures conservées estimées en extrapolant les quantités résultant de l’ajustement de la composition spécifique consignée dans les fiches de pêche (en utilisant les échantillonnages de tailles disponibles) aux captures totales débarquées/transbordées pour chaque marée (ou pour une strate spatio-temporelle alternative)</t>
  </si>
  <si>
    <t>RCNO-Retained catches not estimated (reported landings not verified by government staff)</t>
  </si>
  <si>
    <t>RCNO-Captures conservées non estimées (débarquements déclarés non vérifiés par des fonctionnaires)</t>
  </si>
  <si>
    <t>RCSB-Retained catches not available; RC estimated by using the retained catches available from other years (substitution scheme)</t>
  </si>
  <si>
    <t>RCSB-Captures conservées non disponibles ; RC estimées en utilisant les données de captures conservées disponibles pour d’autres années (substitution)</t>
  </si>
  <si>
    <t>RCSS-Retained catches estimated by multiplying average CPUE values obtained through a sample survey (at the landing place) by the total effort estimated for each time-area stratum  (sampling of effort in time and/or space; sampling of catches in time and/or space)</t>
  </si>
  <si>
    <t>RCSS-Captures conservées estimées en multipliant les valeurs de PUE moyennes obtenues par échantillonnages (sur les sites de débarquement) par l’effort total enregistré pour chaque strate spatio-temporelle (énumération totale de l’effort dans le temps et/ou l’espace ; échantillonnage des captures dans le temps et/ou l’espace)</t>
  </si>
  <si>
    <t>RCTE-Total enumeration of retained catches (no estimation required; landings monitored through/verified by government staff)</t>
  </si>
  <si>
    <t>RCTE-Dénombrement total des captures conservées (pas d’estimation requise ; débarquements surveillés/vérifiés par des fonctionnaires)</t>
  </si>
  <si>
    <t>B0-Less than 5% of the boats covered</t>
  </si>
  <si>
    <t>B0-Moins de 5% des bateaux échantillonnés</t>
  </si>
  <si>
    <t>B1-Between 5%-9% of the boats covered</t>
  </si>
  <si>
    <t>B1-Entre 5%-9% des bateaux échantillonnés</t>
  </si>
  <si>
    <t>B3-Between 10%-29% of the boats covered</t>
  </si>
  <si>
    <t>B3-Entre 10%-29% des bateaux échantillonnés</t>
  </si>
  <si>
    <t>B7-Between 30%-69% of the boats covered</t>
  </si>
  <si>
    <t>B7-Entre 30%-69% des bateaux échantillonnés</t>
  </si>
  <si>
    <t>B9-70% or more of the boats covered</t>
  </si>
  <si>
    <t>B9-70% ou plus des bateaux échantillonnés</t>
  </si>
  <si>
    <t>N0-Less than 5% of the fish sampled (in number)</t>
  </si>
  <si>
    <t>N0-Moins de 5% des poissons échantillonnés (en nombre)</t>
  </si>
  <si>
    <t>N1-Between 5%-9% of the fish sampled (in number)</t>
  </si>
  <si>
    <t>N1-Entre 5%-9% des poissons échantillonnés (en nombre)</t>
  </si>
  <si>
    <t>N3-Between 10%-29% of the fish sampled (in number)</t>
  </si>
  <si>
    <t>N3-Entre 10%-29% des poissons échantillonnés (en nombre)</t>
  </si>
  <si>
    <t>N7-Between 30%-69% of the fish sampled (in number)</t>
  </si>
  <si>
    <t>N7-Entre 30%-69% des poissons échantillonnés (en nombre)</t>
  </si>
  <si>
    <t>N9-70% or more of the fish sampled (in number)</t>
  </si>
  <si>
    <t>N9-70% ou plus des poissons échantillonnés (en nombre)</t>
  </si>
  <si>
    <t>T0-Less than 5% of the trips covered</t>
  </si>
  <si>
    <t>T0-Moins de 5% des marées échantillonnées</t>
  </si>
  <si>
    <t>T1-Between 5%-9% of the trips covered</t>
  </si>
  <si>
    <t>T1-Entre 5%-9% des marées échantillonnées</t>
  </si>
  <si>
    <t>T3-Between 10%-29% of the trips covered</t>
  </si>
  <si>
    <t>T3-Entre 10%-29% des marées échantillonnées</t>
  </si>
  <si>
    <t>T7-Between 30%-69% of the trips covered</t>
  </si>
  <si>
    <t>T7-Entre 30%-69% des marées échantillonnées</t>
  </si>
  <si>
    <t>T9-70% or more of the trips covered</t>
  </si>
  <si>
    <t>T9-70% ou plus des marées échantillonnées</t>
  </si>
  <si>
    <t>UP-Statistics partially raised; coverage unknown</t>
  </si>
  <si>
    <t>UP-Données partialement élevées; couverture inconnue</t>
  </si>
  <si>
    <t>UR-Statistics raised; coverage unknown</t>
  </si>
  <si>
    <t>UR-Données élevées; couverture inconnue</t>
  </si>
  <si>
    <t>US-Statistics not raised; coverage unknown</t>
  </si>
  <si>
    <t>US-Données non-élevées; couverture inconnue</t>
  </si>
  <si>
    <t>UT-Total enumeration</t>
  </si>
  <si>
    <t>UT-Énumération totale</t>
  </si>
  <si>
    <t>UU-Not sampled</t>
  </si>
  <si>
    <t>UU-Non-échantillonné</t>
  </si>
  <si>
    <t>W0-Less than 5% of the fish sampled (in weight)</t>
  </si>
  <si>
    <t>W0-Moins de 5% des poissons échantillonnés (en poids)</t>
  </si>
  <si>
    <t>W1-Between 5%-9% of the fish sampled (in weight)</t>
  </si>
  <si>
    <t>W1-Entre 5%-9% des poissons échantillonnés (en poids)</t>
  </si>
  <si>
    <t>W3-Between 10%-29% of the fish sampled (in weight)</t>
  </si>
  <si>
    <t>W3-Entre 10%-29% des poissons échantillonnés (en poids)</t>
  </si>
  <si>
    <t>W7-Between 30%-69% of the fish sampled (in weight)</t>
  </si>
  <si>
    <t>W7-Entre 30%-69% des poissons échantillonnés (en poids)</t>
  </si>
  <si>
    <t>W9-70% or more of the fish sampled (in weight)</t>
  </si>
  <si>
    <t>W9-70% ou plus des poissons échantillonnés (en poids)</t>
  </si>
  <si>
    <t>MT-Round weight in metric tons</t>
  </si>
  <si>
    <t>MT-Poids rond en tonnes</t>
  </si>
  <si>
    <t>NAME_EN</t>
  </si>
  <si>
    <t>NAME_FR</t>
  </si>
  <si>
    <t>FISHERY_TYPE</t>
  </si>
  <si>
    <t>PSSS-Small purse seines</t>
  </si>
  <si>
    <t>PSSS-Senneur côtier</t>
  </si>
  <si>
    <t>PL-Canne</t>
  </si>
  <si>
    <t>PLME-Canne motorisée</t>
  </si>
  <si>
    <t>PLNM-Canne non motorisée</t>
  </si>
  <si>
    <t>LL-Palangre dérivante au-dessus de 1800 hameçons</t>
  </si>
  <si>
    <t>LLEX-Palangre de prospection</t>
  </si>
  <si>
    <t>LLSK-Palangre ciblant les requins</t>
  </si>
  <si>
    <t>LLSW-Palangre à espadon</t>
  </si>
  <si>
    <t>LLFR-Palangre Frais</t>
  </si>
  <si>
    <t>GIOF-Filet maillant pêche hauturière</t>
  </si>
  <si>
    <t>PS-Senne tournante aux thons</t>
  </si>
  <si>
    <t>PSFS-Senne tournante banc livres des thons</t>
  </si>
  <si>
    <t>PSLS-Senne tournante thons sous épave</t>
  </si>
  <si>
    <t>PSRN-Lampara</t>
  </si>
  <si>
    <t>SN-Filet de pêche</t>
  </si>
  <si>
    <t>TL-Ligne de traîne</t>
  </si>
  <si>
    <t>TLME-Ligne de traîne motorisée</t>
  </si>
  <si>
    <t>TLNM-Ligne de traîne non motorisée</t>
  </si>
  <si>
    <t>PSSP</t>
  </si>
  <si>
    <t>PSSP-Supply vessel industrial purse seiner</t>
  </si>
  <si>
    <t>PSSP-Bateau auxiliaire</t>
  </si>
  <si>
    <t>LLCO-Small longline</t>
  </si>
  <si>
    <t>PLOF-Pole and line (semi-industrial)</t>
  </si>
  <si>
    <t>AG00</t>
  </si>
  <si>
    <t>AG00-Unidentified</t>
  </si>
  <si>
    <t>AG00-Non classé</t>
  </si>
  <si>
    <t>AG01</t>
  </si>
  <si>
    <t>AG01-Baitboat and purse seine</t>
  </si>
  <si>
    <t>AG01-Canne et senne tournante</t>
  </si>
  <si>
    <t>AG02</t>
  </si>
  <si>
    <t>AG02-Gillnet and handline</t>
  </si>
  <si>
    <t>AG02-Filet maillant et Ligne à main</t>
  </si>
  <si>
    <t>AG03</t>
  </si>
  <si>
    <t>AG03-Gillnet, handline and trolling</t>
  </si>
  <si>
    <t>AG03-Filet maillant et ligne à main et ligne de traîne</t>
  </si>
  <si>
    <t>AG04</t>
  </si>
  <si>
    <t>AG04-Gillnet, hand line, trolling and small purse seines</t>
  </si>
  <si>
    <t>AG05</t>
  </si>
  <si>
    <t>AG05-Gillnet / longline</t>
  </si>
  <si>
    <t>AG05-Filet maillant et Palangre</t>
  </si>
  <si>
    <t>AG06</t>
  </si>
  <si>
    <t>AG06-Handline and pole and line (mechanized boats)</t>
  </si>
  <si>
    <t>AG07</t>
  </si>
  <si>
    <t>AG07-Handline and pole and line (non-mechanized boats)</t>
  </si>
  <si>
    <t>AG08</t>
  </si>
  <si>
    <t>AG08-Handline and trolling</t>
  </si>
  <si>
    <t>AG08-Ligne à main et Ligne de traîne</t>
  </si>
  <si>
    <t>AG09</t>
  </si>
  <si>
    <t>AG09-Handline, trolling and pole and line</t>
  </si>
  <si>
    <t>AG10</t>
  </si>
  <si>
    <t>AG10-Longline / handline</t>
  </si>
  <si>
    <t>AG11</t>
  </si>
  <si>
    <t>AG11-Longline and trolling</t>
  </si>
  <si>
    <t>AG11-Palangre côtière et ligne de traîne</t>
  </si>
  <si>
    <t>AG12</t>
  </si>
  <si>
    <t>AG12-Rod-and-reel and pole and line</t>
  </si>
  <si>
    <t>AG13</t>
  </si>
  <si>
    <t>AG13-Trawl and lines</t>
  </si>
  <si>
    <t>AG14</t>
  </si>
  <si>
    <t>AG14-Handline and Beach seine</t>
  </si>
  <si>
    <t>DSDM</t>
  </si>
  <si>
    <t>DSDM-Demersal Danish seine</t>
  </si>
  <si>
    <t>DSDM-Senne danoise démersaux</t>
  </si>
  <si>
    <t>GILF</t>
  </si>
  <si>
    <t>GILF-Gillnet (operated attached to a longline)</t>
  </si>
  <si>
    <t>GILF-Filet maillant (attaché à une palangre)</t>
  </si>
  <si>
    <t>LLGI-Longline (operated attached to Gillnet)</t>
  </si>
  <si>
    <t>LLGI-Palangre (attaché à filet maillant)</t>
  </si>
  <si>
    <t>DL</t>
  </si>
  <si>
    <t>DL-Dropline (vertical handline)</t>
  </si>
  <si>
    <t>DL-Ligne à main vertical</t>
  </si>
  <si>
    <t>DLLS</t>
  </si>
  <si>
    <t>DLLS-Dropline on anchored-FAD</t>
  </si>
  <si>
    <t>DLLS-Ligne à main vertical sous épave ancrée</t>
  </si>
  <si>
    <t>LNPA</t>
  </si>
  <si>
    <t>LNPA-Liftnet on anchored-FAD</t>
  </si>
  <si>
    <t>LNPA-Carrelet sous épave ancrée</t>
  </si>
  <si>
    <t>PLPA</t>
  </si>
  <si>
    <t>PLPA-Pole and line on anchored-FAD</t>
  </si>
  <si>
    <t>PLPA-Pêche a la canne sous épave ancrée</t>
  </si>
  <si>
    <t>PLFS</t>
  </si>
  <si>
    <t>PLFS-Free school pole and line</t>
  </si>
  <si>
    <t>PLFS-Pêche a la canne banc libres à thons</t>
  </si>
  <si>
    <t>PLDF</t>
  </si>
  <si>
    <t>PLDF-Dolphin associated school pole and line</t>
  </si>
  <si>
    <t>PLDF-Pêche a la canne à thons associés avec des dauphins</t>
  </si>
  <si>
    <t>PSSA</t>
  </si>
  <si>
    <t>PSSA-Coastal purse seine on anchored-FAD</t>
  </si>
  <si>
    <t>PSSA-Senne tournante côtière sous épave ancrée</t>
  </si>
  <si>
    <t>PSSF</t>
  </si>
  <si>
    <t>PSSF-Free school coastal purse seine</t>
  </si>
  <si>
    <t>PSSF-Senne tournante côtière banc libres à thons</t>
  </si>
  <si>
    <t>HLOF</t>
  </si>
  <si>
    <t>HLOF-Offshore handline</t>
  </si>
  <si>
    <t>HLOF-Ligne à main (hàuturiere)</t>
  </si>
  <si>
    <t>PSRO</t>
  </si>
  <si>
    <t>PSRO-Offshore ringnet</t>
  </si>
  <si>
    <t>PSRO-Lampara (hàuturiere)</t>
  </si>
  <si>
    <t>SCIENTIFIC_NAME</t>
  </si>
  <si>
    <t>BFT</t>
  </si>
  <si>
    <t>BFT-Northern bluefin tuna</t>
  </si>
  <si>
    <t>BFT-Thon rouge du Nord</t>
  </si>
  <si>
    <t>Thunnus thynnus</t>
  </si>
  <si>
    <t>MLW</t>
  </si>
  <si>
    <t>MLW-Atlantic white marlin</t>
  </si>
  <si>
    <t>MLW-Makaire blanc Atlantique</t>
  </si>
  <si>
    <t>Tetrapturus albidus</t>
  </si>
  <si>
    <t>SAI</t>
  </si>
  <si>
    <t>SAI-Atlantic sailfish</t>
  </si>
  <si>
    <t>SAI-Voilier Atlantique</t>
  </si>
  <si>
    <t>Istiophorus albicans</t>
  </si>
  <si>
    <t>AG05-Frigate tuna and bullet tuna</t>
  </si>
  <si>
    <t>AG05-Auxide et bonitou</t>
  </si>
  <si>
    <t>Auxis spp.</t>
  </si>
  <si>
    <t>AG06-Kawakawa, frigate and bullet tunas</t>
  </si>
  <si>
    <t>AG06-Thonine orientale, auxide et bonitou</t>
  </si>
  <si>
    <t>Euthynnus affinis; Auxis spp.</t>
  </si>
  <si>
    <t>AG04-Marlins, sailfish, spearfish nei</t>
  </si>
  <si>
    <t>AG04-Makaires et marlins et voiliers nca</t>
  </si>
  <si>
    <t>Istiophoridae</t>
  </si>
  <si>
    <t>AG02-Indo-Pacific sailfish and shortbill spearfish</t>
  </si>
  <si>
    <t>AG02-Voilier indo-pacifique et makaire à rostre court</t>
  </si>
  <si>
    <t>Istiophorus platypterus; Tetrapturus angustirostris</t>
  </si>
  <si>
    <t>AG10-Skipjack tuna and kawakawa</t>
  </si>
  <si>
    <t>AG10-Listao et Thonine orientale</t>
  </si>
  <si>
    <t>Katsuwonus pelamis; Euthynnus affinis</t>
  </si>
  <si>
    <t>AG01-Black marlin and striped marlin</t>
  </si>
  <si>
    <t>Makaira nigricans; Tetrapturus audax</t>
  </si>
  <si>
    <t>AG09-Wahoo and seerfishes nei</t>
  </si>
  <si>
    <t>AG09-Thazards nca</t>
  </si>
  <si>
    <t>Scomberomorini</t>
  </si>
  <si>
    <t>AG08-Seerfishes nei</t>
  </si>
  <si>
    <t>AG08-Thazards nca</t>
  </si>
  <si>
    <t>Scomberomorus spp.</t>
  </si>
  <si>
    <t>AG12-Tuna-like fishes nei</t>
  </si>
  <si>
    <t>AG12-Poissons type thon nca</t>
  </si>
  <si>
    <t>Scombroidei</t>
  </si>
  <si>
    <t>AG03-Marlins nei</t>
  </si>
  <si>
    <t>AG03-Marlin rayé et makaires nca</t>
  </si>
  <si>
    <t>Tetrapturus audax; Makaira spp.</t>
  </si>
  <si>
    <t>AG13-Tunas nei</t>
  </si>
  <si>
    <t>AG13-Thonidés nca</t>
  </si>
  <si>
    <t>Thunnini</t>
  </si>
  <si>
    <t>AG11-True tunas nei</t>
  </si>
  <si>
    <t>AG11-Thons Thunnus nca</t>
  </si>
  <si>
    <t>Thunnus spp.</t>
  </si>
  <si>
    <t>AG07-Longtail tuna and kawakawa</t>
  </si>
  <si>
    <t>AG07-Thon mignon et thonine orientale</t>
  </si>
  <si>
    <t>Thunnus tonggol; Euthynnus affinis</t>
  </si>
  <si>
    <t>AG14-Billfish nei</t>
  </si>
  <si>
    <t>AG14-Poissons epée nca</t>
  </si>
  <si>
    <t>Xiphioidei</t>
  </si>
  <si>
    <t>AG34</t>
  </si>
  <si>
    <t>AG34-Yellowfin tuna and bigeye tuna</t>
  </si>
  <si>
    <t>Thunnus albacares; Thunnus obesus</t>
  </si>
  <si>
    <t>AG35</t>
  </si>
  <si>
    <t>AG35-Yellowfin tuna and skipjack tuna</t>
  </si>
  <si>
    <t>Thunnus albacares; Katsuwonus pelamis</t>
  </si>
  <si>
    <t>AG39</t>
  </si>
  <si>
    <t>AG39-Yellowfin tuna; bigeye tuna; albacore; swordfish; marlins nei</t>
  </si>
  <si>
    <t xml:space="preserve">Thunnus albacares; Thunnus obesus; Thunnus alalunga; Xiphias gladius; Makaira spp.; Tetrapturus audax </t>
  </si>
  <si>
    <t>AG40</t>
  </si>
  <si>
    <t>AG40-Albacore, frigate tuna and bullet tuna</t>
  </si>
  <si>
    <t>Thunnus alalunga; Auxis spp.</t>
  </si>
  <si>
    <t>AG41</t>
  </si>
  <si>
    <t>AG41-Blue marlin and black marlin</t>
  </si>
  <si>
    <t>Makaira spp.</t>
  </si>
  <si>
    <t>OXY-Centrine communes</t>
  </si>
  <si>
    <t>BTH-Renard a gros yeux</t>
  </si>
  <si>
    <t>PTH-Renard pelagique</t>
  </si>
  <si>
    <t>SMD-Emissole lisse</t>
  </si>
  <si>
    <t>SSQ-Requins divers nca</t>
  </si>
  <si>
    <t>RHA-Requin à museau pointu</t>
  </si>
  <si>
    <t>RMB-Manta géant</t>
  </si>
  <si>
    <t>AG31</t>
  </si>
  <si>
    <t>Hexanchidae</t>
  </si>
  <si>
    <t>AG15</t>
  </si>
  <si>
    <t>AG15-Dogfishes nei</t>
  </si>
  <si>
    <t>AG15-Aiguillats nca</t>
  </si>
  <si>
    <t>Squalus spp.</t>
  </si>
  <si>
    <t>AG16</t>
  </si>
  <si>
    <t>AG16-Hammerhead sharks nei</t>
  </si>
  <si>
    <t>AG16-Requins marteau nca</t>
  </si>
  <si>
    <t>Sphyrna spp.</t>
  </si>
  <si>
    <t>AG17</t>
  </si>
  <si>
    <t>AG17-Mako sharks</t>
  </si>
  <si>
    <t>AG17-Taupes</t>
  </si>
  <si>
    <t>Isurus spp</t>
  </si>
  <si>
    <t>AG30</t>
  </si>
  <si>
    <t>AG18</t>
  </si>
  <si>
    <t>AG18-Rays, stingrays, mantas nei</t>
  </si>
  <si>
    <t>AG18-Raies et pastenagues et mantes nca</t>
  </si>
  <si>
    <t>Rajiformes</t>
  </si>
  <si>
    <t>AG19</t>
  </si>
  <si>
    <t>AG19-Requiem sharks nei</t>
  </si>
  <si>
    <t>AG19-Requins nca</t>
  </si>
  <si>
    <t>Carcharhinidae</t>
  </si>
  <si>
    <t>AG20</t>
  </si>
  <si>
    <t>AG20-Sharks mackerel, porbeagles nei</t>
  </si>
  <si>
    <t>AG20-Requins taupe nca</t>
  </si>
  <si>
    <t>Lamnidae</t>
  </si>
  <si>
    <t>AG21</t>
  </si>
  <si>
    <t>AG21-Sharks nei other than oceanic whitetip shark and blue shark</t>
  </si>
  <si>
    <t>AG21-Requins nca hors requin océanique et peau bleue</t>
  </si>
  <si>
    <t>Selachimorpha (Pleurotremata); needs update</t>
  </si>
  <si>
    <t>AG22</t>
  </si>
  <si>
    <t>AG22-Sharks various nei</t>
  </si>
  <si>
    <t>AG22-Requins divers nca</t>
  </si>
  <si>
    <t>Selachimorpha (Pleurotremata)</t>
  </si>
  <si>
    <t>AG23</t>
  </si>
  <si>
    <t>AG23-Thresher sharks nei</t>
  </si>
  <si>
    <t>AG23-Renards de mer nca</t>
  </si>
  <si>
    <t>AG36</t>
  </si>
  <si>
    <t>AG36-Sharks various coastal species nei</t>
  </si>
  <si>
    <t>Selachimorpha (Pleurotremata) - coastal</t>
  </si>
  <si>
    <t>AG37</t>
  </si>
  <si>
    <t>AG37-Blue shark and shorfin mako</t>
  </si>
  <si>
    <t>Prionace glauca; Isurus oxyrinchus</t>
  </si>
  <si>
    <t>AG38</t>
  </si>
  <si>
    <t>AG38-Blue shark, shortfin mako, oceanic whitetip shark</t>
  </si>
  <si>
    <t>Prionace glauca; Isurus oxyrinchus; Carcharhinus longimanus</t>
  </si>
  <si>
    <t>BIP-Bonite oriental</t>
  </si>
  <si>
    <t>BRA-Brama</t>
  </si>
  <si>
    <t>KOS-Thazard coreen</t>
  </si>
  <si>
    <t>OIL-Ruvet</t>
  </si>
  <si>
    <t>WAH-Thazard-bâtard</t>
  </si>
  <si>
    <t>AG00-Unknown</t>
  </si>
  <si>
    <t>AG00-Espèces non ciblées, associées et dépendantes</t>
  </si>
  <si>
    <t>NA</t>
  </si>
  <si>
    <t>AG24</t>
  </si>
  <si>
    <t>AG24-Dolphinfishes, nei</t>
  </si>
  <si>
    <t>AG24-Coryphènes nca</t>
  </si>
  <si>
    <t>Coryphaenidae</t>
  </si>
  <si>
    <t>AG26</t>
  </si>
  <si>
    <t>AG26-Mackerels Indian, nei</t>
  </si>
  <si>
    <t>AG26-Maquereaux Indo-pacifique nca</t>
  </si>
  <si>
    <t>Rastrelliger spp.</t>
  </si>
  <si>
    <t>AG27</t>
  </si>
  <si>
    <t>AG27-Non-IOTC species</t>
  </si>
  <si>
    <t>AG27-Poissons marins nca</t>
  </si>
  <si>
    <t>Various</t>
  </si>
  <si>
    <t>AG28</t>
  </si>
  <si>
    <t>AG28-Snake mackerels, escolars, nei</t>
  </si>
  <si>
    <t>AG28-Escoliers et rouvets nca</t>
  </si>
  <si>
    <t>Gempylidae</t>
  </si>
  <si>
    <t>AG29</t>
  </si>
  <si>
    <t>AG29-Snappers, jobfishes nei</t>
  </si>
  <si>
    <t>Lutjanidae</t>
  </si>
  <si>
    <t>AG32</t>
  </si>
  <si>
    <t>AG32-Barracudas</t>
  </si>
  <si>
    <t>AG32-Brochets de mer</t>
  </si>
  <si>
    <t>ASM</t>
  </si>
  <si>
    <t>ASM-Australia Spotted Mackerel</t>
  </si>
  <si>
    <t>ASM-Thazard Australien</t>
  </si>
  <si>
    <t>Scomberomorus munroi</t>
  </si>
  <si>
    <t>BBM</t>
  </si>
  <si>
    <t>BBM-Broad-barred King Mackerel</t>
  </si>
  <si>
    <t>BBM-Thazard sp</t>
  </si>
  <si>
    <t>Scomberomorus semifasciatus</t>
  </si>
  <si>
    <t>CCE</t>
  </si>
  <si>
    <t>CCE-Bull shark</t>
  </si>
  <si>
    <t>CCE-Requin bouledogue</t>
  </si>
  <si>
    <t>Carcharhinus leucas</t>
  </si>
  <si>
    <t>GAM</t>
  </si>
  <si>
    <t>GAM-Mouse catshark</t>
  </si>
  <si>
    <t>GAM-Chien islandias</t>
  </si>
  <si>
    <t>Galeus murinus</t>
  </si>
  <si>
    <t>MOO</t>
  </si>
  <si>
    <t>MOO-MoonFish</t>
  </si>
  <si>
    <t>MOO-Luneur</t>
  </si>
  <si>
    <t>Mene maculata</t>
  </si>
  <si>
    <t>MSD</t>
  </si>
  <si>
    <t>MSD-Comète maquereau</t>
  </si>
  <si>
    <t>Decapterus macarellus</t>
  </si>
  <si>
    <t>POL</t>
  </si>
  <si>
    <t>POL-Pollack</t>
  </si>
  <si>
    <t>POL-Lieu jaune</t>
  </si>
  <si>
    <t>Pollachius pollachius</t>
  </si>
  <si>
    <t>SLT</t>
  </si>
  <si>
    <t>SLT-Slender Tuna</t>
  </si>
  <si>
    <t>SLT-Thon élégant</t>
  </si>
  <si>
    <t>Allothunnus fallai</t>
  </si>
  <si>
    <t>SPK</t>
  </si>
  <si>
    <t>SPK-Great hammerhead shark</t>
  </si>
  <si>
    <t>SPK-Grand requin marteau</t>
  </si>
  <si>
    <t>Sphyrna mokarran</t>
  </si>
  <si>
    <t>SWA</t>
  </si>
  <si>
    <t>SWA-White seabream</t>
  </si>
  <si>
    <t>SWA-Sar commun</t>
  </si>
  <si>
    <t>Diplodus sargus</t>
  </si>
  <si>
    <t>TRB</t>
  </si>
  <si>
    <t>TRB-Whitetip reef shark</t>
  </si>
  <si>
    <t>TRB-Requin corail</t>
  </si>
  <si>
    <t>Triaenodon obesus</t>
  </si>
  <si>
    <t>YTC</t>
  </si>
  <si>
    <t>YTC-Yellowtail amberjack</t>
  </si>
  <si>
    <t>YTC-Sériole chicard</t>
  </si>
  <si>
    <t>Seriola lalandi</t>
  </si>
  <si>
    <t>ALX</t>
  </si>
  <si>
    <t>ALX-Long snouted lancetfish</t>
  </si>
  <si>
    <t>Alepisaurus ferox</t>
  </si>
  <si>
    <t>CNT</t>
  </si>
  <si>
    <t>CNT-Ocean triggerfish</t>
  </si>
  <si>
    <t>Canthidermis maculata</t>
  </si>
  <si>
    <t>DIO</t>
  </si>
  <si>
    <t>DIO-Globefish, porcupine fish</t>
  </si>
  <si>
    <t>DIO-Porcs-epics</t>
  </si>
  <si>
    <t>Diodontidae</t>
  </si>
  <si>
    <t>LOB</t>
  </si>
  <si>
    <t>LOB-Tripletail</t>
  </si>
  <si>
    <t>LOB-Croupia roche</t>
  </si>
  <si>
    <t>Lobotes surinamensis</t>
  </si>
  <si>
    <t>ALO</t>
  </si>
  <si>
    <t>ALO-Short snouted lancetfish</t>
  </si>
  <si>
    <t>Alepisaurus brevirostris</t>
  </si>
  <si>
    <t>AMX</t>
  </si>
  <si>
    <t>AMX-Amberjacks nei</t>
  </si>
  <si>
    <t>AMX-Sérioles nca</t>
  </si>
  <si>
    <t>Seriola spp</t>
  </si>
  <si>
    <t>EHN</t>
  </si>
  <si>
    <t>EHN-Live sharksucker</t>
  </si>
  <si>
    <t>EHN-Rémora commun</t>
  </si>
  <si>
    <t>Echeneis naucrates</t>
  </si>
  <si>
    <t>LLL</t>
  </si>
  <si>
    <t>LLL-Crested oarfish</t>
  </si>
  <si>
    <t>LLL-Oarfish aigrettes</t>
  </si>
  <si>
    <t>Lophotus lacepede</t>
  </si>
  <si>
    <t>MOX</t>
  </si>
  <si>
    <t>MOX-Ocean sunfish</t>
  </si>
  <si>
    <t>MOX-Poisson lune</t>
  </si>
  <si>
    <t>Mola mola</t>
  </si>
  <si>
    <t>MRW</t>
  </si>
  <si>
    <t>MRW-Sharptail mola</t>
  </si>
  <si>
    <t>Masturus lanceolatus</t>
  </si>
  <si>
    <t>AG45</t>
  </si>
  <si>
    <t>AG45-Albacore, yellowfin tuna and bigeye tuna</t>
  </si>
  <si>
    <t>AG45-Germon; Albacore; Patudo; Thon obèse</t>
  </si>
  <si>
    <t>Thunnus alalunga; Thunnus albacares; Thunnus obesus</t>
  </si>
  <si>
    <t>ALI</t>
  </si>
  <si>
    <t>ALI-Lancetfishes nei</t>
  </si>
  <si>
    <t>ALI-Lanciers</t>
  </si>
  <si>
    <t>Alepisaurus spp</t>
  </si>
  <si>
    <t>AGN</t>
  </si>
  <si>
    <t>AGN-Angel shark</t>
  </si>
  <si>
    <t>CCY</t>
  </si>
  <si>
    <t>CCY-Graceful shark</t>
  </si>
  <si>
    <t>CCY-Requin gracile</t>
  </si>
  <si>
    <t>Carcharhinus amblyrhynchoides</t>
  </si>
  <si>
    <t>HCM</t>
  </si>
  <si>
    <t>HCM-Hooktooth shark</t>
  </si>
  <si>
    <t>HCM-Milandre harpon</t>
  </si>
  <si>
    <t>Comadreja ganchuda</t>
  </si>
  <si>
    <t>HEE</t>
  </si>
  <si>
    <t>HEE-Snaggletooth shark</t>
  </si>
  <si>
    <t>Hemipristis elongata</t>
  </si>
  <si>
    <t>TRK</t>
  </si>
  <si>
    <t>TRK-Houndsharks; smoothhounds nei</t>
  </si>
  <si>
    <t>TRK-Émissoles; requins-hâ nca</t>
  </si>
  <si>
    <t>AG46</t>
  </si>
  <si>
    <t>AG46-Rainbow runner and mackerels</t>
  </si>
  <si>
    <t>AG47</t>
  </si>
  <si>
    <t>AG47-Common dolphinfish and rainbow runner</t>
  </si>
  <si>
    <t>AG60</t>
  </si>
  <si>
    <t>AG60-Other bony fish nei</t>
  </si>
  <si>
    <t>IREASIO</t>
  </si>
  <si>
    <t>IREASIO-Indian Ocean - Eastern Area</t>
  </si>
  <si>
    <t>IREASIO-Océan Indien - Est</t>
  </si>
  <si>
    <t>IRWESIO</t>
  </si>
  <si>
    <t>IRWESIO-Indian Ocean - Western Area</t>
  </si>
  <si>
    <t>IRWESIO-Océan Indien - Ouest</t>
  </si>
  <si>
    <t>UN</t>
  </si>
  <si>
    <t>UN-Unknown</t>
  </si>
  <si>
    <t>UN-Inconnue</t>
  </si>
  <si>
    <t>ANT</t>
  </si>
  <si>
    <t>ANT-Netherlands Antilles</t>
  </si>
  <si>
    <t>ANT-Antilles néerlandaises</t>
  </si>
  <si>
    <t>BGR</t>
  </si>
  <si>
    <t>BGR-Bulgaria</t>
  </si>
  <si>
    <t>BGR-Bulgarie</t>
  </si>
  <si>
    <t>BOL</t>
  </si>
  <si>
    <t>BOL-Bolivia</t>
  </si>
  <si>
    <t>BOL-Bolivie</t>
  </si>
  <si>
    <t>CIV</t>
  </si>
  <si>
    <t>CIV-Côte d'Ivoire</t>
  </si>
  <si>
    <t>CYM</t>
  </si>
  <si>
    <t>CYM-Cayman Islands</t>
  </si>
  <si>
    <t>CYM-Îles Cayman</t>
  </si>
  <si>
    <t>DEU</t>
  </si>
  <si>
    <t>DEU-Germany</t>
  </si>
  <si>
    <t>DEU-Allemagne</t>
  </si>
  <si>
    <t>ESP-Spain</t>
  </si>
  <si>
    <t>ESP-Espagne</t>
  </si>
  <si>
    <t>FRA-France</t>
  </si>
  <si>
    <t>GBR-United Kingdom</t>
  </si>
  <si>
    <t>GBR-Royaume-Uni</t>
  </si>
  <si>
    <t>GBRT-Royaume uni OT</t>
  </si>
  <si>
    <t>GEO</t>
  </si>
  <si>
    <t>GEO-Georgia</t>
  </si>
  <si>
    <t>GEO-Georgie</t>
  </si>
  <si>
    <t>GNQ</t>
  </si>
  <si>
    <t>GNQ-Equatorial Guinea</t>
  </si>
  <si>
    <t>GNQ-Guinée équatoriale</t>
  </si>
  <si>
    <t>HKG</t>
  </si>
  <si>
    <t>HKG-Hong Kong</t>
  </si>
  <si>
    <t>HKG-Hong-kong</t>
  </si>
  <si>
    <t>HND</t>
  </si>
  <si>
    <t>HND-Honduras</t>
  </si>
  <si>
    <t>IRN-Iran (Islamic Republic of)</t>
  </si>
  <si>
    <t>IRN-Iran (République Islamique d')</t>
  </si>
  <si>
    <t>ISL</t>
  </si>
  <si>
    <t>ISL-Iceland</t>
  </si>
  <si>
    <t>ISL-Islande</t>
  </si>
  <si>
    <t>ITA-Italy</t>
  </si>
  <si>
    <t>ITA-Italie</t>
  </si>
  <si>
    <t>KHM</t>
  </si>
  <si>
    <t>KHM-Cambodia</t>
  </si>
  <si>
    <t>KHM-Cambodge</t>
  </si>
  <si>
    <t>KOR-Korea (Republic of)</t>
  </si>
  <si>
    <t>KOR-Corée (République de)</t>
  </si>
  <si>
    <t>LBR</t>
  </si>
  <si>
    <t>LBR-Liberia</t>
  </si>
  <si>
    <t>LBR-Libéria</t>
  </si>
  <si>
    <t>MLT</t>
  </si>
  <si>
    <t>MLT-Malta</t>
  </si>
  <si>
    <t>MLT-Malte</t>
  </si>
  <si>
    <t>MMR</t>
  </si>
  <si>
    <t>MMR-Myanmar</t>
  </si>
  <si>
    <t>MNG</t>
  </si>
  <si>
    <t>MNG-Mongolia</t>
  </si>
  <si>
    <t>MNG-Mongolie</t>
  </si>
  <si>
    <t>NAM</t>
  </si>
  <si>
    <t>NAM-Namibia</t>
  </si>
  <si>
    <t>NAM-Namibie</t>
  </si>
  <si>
    <t>NEI</t>
  </si>
  <si>
    <t>NEI-Unidentified</t>
  </si>
  <si>
    <t>NEI-Non identifié</t>
  </si>
  <si>
    <t>PAN</t>
  </si>
  <si>
    <t>PAN-Panama</t>
  </si>
  <si>
    <t>PNG</t>
  </si>
  <si>
    <t>PNG-Papua New Guinea</t>
  </si>
  <si>
    <t>PNG-Papua Nouvelle Guinée</t>
  </si>
  <si>
    <t>PRT-Portugal</t>
  </si>
  <si>
    <t>REU</t>
  </si>
  <si>
    <t>REU-France (Reunion)</t>
  </si>
  <si>
    <t>REU-France (Réunion)</t>
  </si>
  <si>
    <t>SUN</t>
  </si>
  <si>
    <t>SUN-Soviet Union</t>
  </si>
  <si>
    <t>SUN-Union Sovietique</t>
  </si>
  <si>
    <t>TGO</t>
  </si>
  <si>
    <t>TGO-Togo</t>
  </si>
  <si>
    <t>TZA-Tanzania (United Republic of)</t>
  </si>
  <si>
    <t>TZA-Tanzanie (République Unie de)</t>
  </si>
  <si>
    <t>UKR</t>
  </si>
  <si>
    <t>UKR-Ukraine</t>
  </si>
  <si>
    <t>VCT</t>
  </si>
  <si>
    <t>VCT-Saint Vincent and the Grenadines</t>
  </si>
  <si>
    <t>VCT-Saint-Vincent et les Grenadines</t>
  </si>
  <si>
    <t>ZAF-Afrique du sud</t>
  </si>
  <si>
    <t>REASON RETAINED</t>
  </si>
  <si>
    <t>REA</t>
  </si>
  <si>
    <t>RAISON RETENU</t>
  </si>
  <si>
    <t>RETAINED REASON</t>
  </si>
  <si>
    <t>RCC</t>
  </si>
  <si>
    <t>RFL</t>
  </si>
  <si>
    <t>RFR</t>
  </si>
  <si>
    <t>RFT</t>
  </si>
  <si>
    <t>REASON FOR RETAINED</t>
  </si>
  <si>
    <t>RAISON POUR RETENU</t>
  </si>
  <si>
    <t>AGN-Ange de mer commun</t>
  </si>
  <si>
    <t>Squatina squatina</t>
  </si>
  <si>
    <t>CCM-Requin à nez rude</t>
  </si>
  <si>
    <t>CEM-Squale-chagrin cagaou</t>
  </si>
  <si>
    <t>CLD-Requin sagrin</t>
  </si>
  <si>
    <t>CPU-Petit squale-chagrin</t>
  </si>
  <si>
    <t>CYT-Aiguillat élégant</t>
  </si>
  <si>
    <t>HXT-Requin perlon</t>
  </si>
  <si>
    <t>ODH-Requin noronhai</t>
  </si>
  <si>
    <t>ORI-Requin-chabot élégant</t>
  </si>
  <si>
    <t>ORR-Requin-chabot gris</t>
  </si>
  <si>
    <t>ORZ-Requin nourrice fauve</t>
  </si>
  <si>
    <t>OSF-Requin zèbre</t>
  </si>
  <si>
    <t>RHN-Requin baleine</t>
  </si>
  <si>
    <t>SLA-Requin épée</t>
  </si>
  <si>
    <t>WSH-Grand requin blanc</t>
  </si>
  <si>
    <t>ALX-Lancier longnez</t>
  </si>
  <si>
    <t>CNT-Baliste rude</t>
  </si>
  <si>
    <t>AG01-Makaire noir et Marlin rayé</t>
  </si>
  <si>
    <t>AG41-Makaire noir et Makaire bleu</t>
  </si>
  <si>
    <t>AG34-Albacore et patudo</t>
  </si>
  <si>
    <t>AG35-Albacore et listao</t>
  </si>
  <si>
    <t>AG39-Albacore, listao, patudo, germon, espadon, makaires nca</t>
  </si>
  <si>
    <t>AG40-Germon, Auxide et bonitou</t>
  </si>
  <si>
    <t>AG30-Mantes, diables de mer nca</t>
  </si>
  <si>
    <t>AG36-divers requins de espèces côtier</t>
  </si>
  <si>
    <t>AG37-Peau bleue et Taupe bleue</t>
  </si>
  <si>
    <t>AG38-Peau bleue, Taupe bleue et Requin océanique</t>
  </si>
  <si>
    <t>AG29-Lutianidés nca</t>
  </si>
  <si>
    <t>AG46-Comète saumon et maquereau</t>
  </si>
  <si>
    <t>AG47-Coryphène commune et Comète saumon</t>
  </si>
  <si>
    <t>Elagatis bipinnulata, Scombridae</t>
  </si>
  <si>
    <t>Elagatis bipinnulata, Coryphaena hippurus</t>
  </si>
  <si>
    <t>RFR-Retained - trunk and fins retained (shark only)</t>
  </si>
  <si>
    <t>RFB</t>
  </si>
  <si>
    <t>RFB-Retained - used as bait</t>
  </si>
  <si>
    <t>RFB-Conservé à bord – utilisé comme appât</t>
  </si>
  <si>
    <t>AG31-Requins griset</t>
  </si>
  <si>
    <t>AG60-Poissons non du type thon nca</t>
  </si>
  <si>
    <t>QUARTER</t>
  </si>
  <si>
    <t>TRIMESTRES</t>
  </si>
  <si>
    <t>GUQ</t>
  </si>
  <si>
    <t>GUQ-Leafscale gulper shark</t>
  </si>
  <si>
    <t>GUQ-Squale-chagrin de l'Atlantique</t>
  </si>
  <si>
    <t>Centrophorus squamosus</t>
  </si>
  <si>
    <t>LMD</t>
  </si>
  <si>
    <t>LMD-Salmon shark</t>
  </si>
  <si>
    <t>LMD-Requin-taupe saumon</t>
  </si>
  <si>
    <t>Lamna ditropis</t>
  </si>
  <si>
    <t>MTM-Émissole d'Arabie</t>
  </si>
  <si>
    <t>PLS</t>
  </si>
  <si>
    <t>PLS-Pelagic stingray</t>
  </si>
  <si>
    <t>PLS-Pastenague violette</t>
  </si>
  <si>
    <t>Dasyatis violacea</t>
  </si>
  <si>
    <t>RSK</t>
  </si>
  <si>
    <t>RSK-Requiem sharks nei</t>
  </si>
  <si>
    <t>RSK-Requins nca</t>
  </si>
  <si>
    <t>ASZ</t>
  </si>
  <si>
    <t>ASZ-Razorback scabbardfish</t>
  </si>
  <si>
    <t>ASZ-Poisson-sabre rasoir</t>
  </si>
  <si>
    <t>Assurger anzac</t>
  </si>
  <si>
    <t>BRZ</t>
  </si>
  <si>
    <t>BRZ-Pomfrets, ocean breams nei</t>
  </si>
  <si>
    <t>BRZ-Castagnoles nca</t>
  </si>
  <si>
    <t>Bramidae</t>
  </si>
  <si>
    <t>BSX</t>
  </si>
  <si>
    <t>BSX-Groupers, seabasses nei</t>
  </si>
  <si>
    <t>BSX-Serranidés nca</t>
  </si>
  <si>
    <t>Serranidae</t>
  </si>
  <si>
    <t>CEO</t>
  </si>
  <si>
    <t>CEO-Rudderfish</t>
  </si>
  <si>
    <t>CEO-Centrolophe noir</t>
  </si>
  <si>
    <t>Centrolophus niger</t>
  </si>
  <si>
    <t>CGX</t>
  </si>
  <si>
    <t>CGX-Carangids nei</t>
  </si>
  <si>
    <t>CGX-Carangidés nca</t>
  </si>
  <si>
    <t>Carangidae</t>
  </si>
  <si>
    <t>CUT</t>
  </si>
  <si>
    <t>CUT-Hairtails, scabbardfishes nei</t>
  </si>
  <si>
    <t>CUT-Poissons-sabres, sabres nca</t>
  </si>
  <si>
    <t>Trichiuridae</t>
  </si>
  <si>
    <t>GBA</t>
  </si>
  <si>
    <t>GBA-Great barracuda</t>
  </si>
  <si>
    <t>GBA-Barracuda</t>
  </si>
  <si>
    <t>Sphyraena barracuda</t>
  </si>
  <si>
    <t>GES</t>
  </si>
  <si>
    <t>GES-Snake mackerel</t>
  </si>
  <si>
    <t>GES-Escolier serpent</t>
  </si>
  <si>
    <t>Gempylus serpens</t>
  </si>
  <si>
    <t>LEC</t>
  </si>
  <si>
    <t>LEC-Escolar</t>
  </si>
  <si>
    <t>LEC-Escolier noir</t>
  </si>
  <si>
    <t>LTA</t>
  </si>
  <si>
    <t>LTA-Little tunny(=Atl.black skipj)</t>
  </si>
  <si>
    <t>LTA-Thonine commune</t>
  </si>
  <si>
    <t>Euthynnus alletteratus</t>
  </si>
  <si>
    <t>MSD-Mackerel scad</t>
  </si>
  <si>
    <t>NEN</t>
  </si>
  <si>
    <t>NEN-Black gemfish</t>
  </si>
  <si>
    <t>NEN-Escolier long nez</t>
  </si>
  <si>
    <t>Nesiarchus nasutus</t>
  </si>
  <si>
    <t>POA</t>
  </si>
  <si>
    <t>POA-Atlantic pomfret</t>
  </si>
  <si>
    <t>POA-Grande castagnole</t>
  </si>
  <si>
    <t>Brama brama</t>
  </si>
  <si>
    <t>PUX</t>
  </si>
  <si>
    <t>PUX-Puffers nei</t>
  </si>
  <si>
    <t>PUX-Compères nca</t>
  </si>
  <si>
    <t>Tetraodontidae</t>
  </si>
  <si>
    <t>RXP</t>
  </si>
  <si>
    <t>RXP-Royal escolar</t>
  </si>
  <si>
    <t>RXP-Escolier royal</t>
  </si>
  <si>
    <t>Rexea prometheoides</t>
  </si>
  <si>
    <t>RZV</t>
  </si>
  <si>
    <t>RZV-Slender sunfish</t>
  </si>
  <si>
    <t>Ranzania laevis</t>
  </si>
  <si>
    <t>TAL</t>
  </si>
  <si>
    <t>TAL-Big-scale pomfret</t>
  </si>
  <si>
    <t>Taractichthys longipinnis</t>
  </si>
  <si>
    <t>TCR</t>
  </si>
  <si>
    <t>TCR-Dagger pomfret</t>
  </si>
  <si>
    <t>Taractes rubescens</t>
  </si>
  <si>
    <t>TEE</t>
  </si>
  <si>
    <t>TEE-Pacific fanfish</t>
  </si>
  <si>
    <t>Pteraclis aesticola</t>
  </si>
  <si>
    <t>TRQ</t>
  </si>
  <si>
    <t>TRQ-Mediterranean dealfish</t>
  </si>
  <si>
    <t>TRQ-Poisson ruban</t>
  </si>
  <si>
    <t>Trachipterus trachypterus</t>
  </si>
  <si>
    <t>TRX</t>
  </si>
  <si>
    <t>TRX-Ribbonfishes</t>
  </si>
  <si>
    <t>TRX-Trachyptères, poissons-rubans</t>
  </si>
  <si>
    <t>Trachipteridae</t>
  </si>
  <si>
    <t>TST</t>
  </si>
  <si>
    <t>TST-Sickle pomfret</t>
  </si>
  <si>
    <t>Taractichthys steindachneri</t>
  </si>
  <si>
    <t>TWK</t>
  </si>
  <si>
    <t>TWK-Slender ribbonfish</t>
  </si>
  <si>
    <t>Trachipterus ishikawae</t>
  </si>
  <si>
    <t>YTL</t>
  </si>
  <si>
    <t>YTL-Longfin yellowtail</t>
  </si>
  <si>
    <t>YTL-Sériole limon</t>
  </si>
  <si>
    <t>Seriola rivoliana</t>
  </si>
  <si>
    <t>RMM</t>
  </si>
  <si>
    <t>Mobula mobular</t>
  </si>
  <si>
    <t>BIS</t>
  </si>
  <si>
    <t>BIS-Bigeye scad</t>
  </si>
  <si>
    <t>BIS-Sélar coulisou</t>
  </si>
  <si>
    <t>Selar crumenophthalmus</t>
  </si>
  <si>
    <t>EJA</t>
  </si>
  <si>
    <t>EJA-Needle cuttlefish</t>
  </si>
  <si>
    <t>EJA-Seiche aiguille</t>
  </si>
  <si>
    <t>Sepia aculeata</t>
  </si>
  <si>
    <t>RUS</t>
  </si>
  <si>
    <t>RUS-Indian scad</t>
  </si>
  <si>
    <t>RUS-Comète indienne</t>
  </si>
  <si>
    <t>Decapterus russelli</t>
  </si>
  <si>
    <t>SOM</t>
  </si>
  <si>
    <t>SOM-Somalia</t>
  </si>
  <si>
    <t>SOM-Somalie</t>
  </si>
  <si>
    <t>MYT</t>
  </si>
  <si>
    <t>MYT-France (Mayotte)</t>
  </si>
  <si>
    <t>EAG</t>
  </si>
  <si>
    <t>Myliobatidae</t>
  </si>
  <si>
    <t>FLY</t>
  </si>
  <si>
    <t>FLY-Flyingfishes nei</t>
  </si>
  <si>
    <t>FLY-Exocets nca</t>
  </si>
  <si>
    <t>Exocoetidae</t>
  </si>
  <si>
    <t>SAG</t>
  </si>
  <si>
    <t>SAG-Goldstripe sardinella</t>
  </si>
  <si>
    <t>SAG-Sardinelle dorée</t>
  </si>
  <si>
    <t>Sardinella gibbosa</t>
  </si>
  <si>
    <t>ANX</t>
  </si>
  <si>
    <t>ANX-Anchovies, etc. nei</t>
  </si>
  <si>
    <t>ANX-Anchois, etc. nca</t>
  </si>
  <si>
    <t>Engraulidae</t>
  </si>
  <si>
    <t>POY</t>
  </si>
  <si>
    <t>POY-Ponyfishes(=Slipmouths)</t>
  </si>
  <si>
    <t>POY-Sapsap</t>
  </si>
  <si>
    <t>Leiognathus spp</t>
  </si>
  <si>
    <t>Chirocentrus dorab</t>
  </si>
  <si>
    <t>BSK</t>
  </si>
  <si>
    <t>BSK-Basking shark</t>
  </si>
  <si>
    <t>BSK-Requin pélerin</t>
  </si>
  <si>
    <t>Cetorhinus maximus</t>
  </si>
  <si>
    <t>CCA</t>
  </si>
  <si>
    <t>CCA-Bignose shark</t>
  </si>
  <si>
    <t>CCA-Requin babosse</t>
  </si>
  <si>
    <t>Carcharhinus altimus</t>
  </si>
  <si>
    <t>CCB</t>
  </si>
  <si>
    <t>CCB-Spinner Shark</t>
  </si>
  <si>
    <t>CCB-Requin tisserand</t>
  </si>
  <si>
    <t>CTU</t>
  </si>
  <si>
    <t>CTU-Gummy shark</t>
  </si>
  <si>
    <t>CTU-Émissole gommée</t>
  </si>
  <si>
    <t>Mustelus antarcticus</t>
  </si>
  <si>
    <t>CWZ</t>
  </si>
  <si>
    <t>CWZ-Carcharhinus sharks nei</t>
  </si>
  <si>
    <t>CWZ-Requins Carcharhinus nca</t>
  </si>
  <si>
    <t>Carcharhinus spp</t>
  </si>
  <si>
    <t>EUB</t>
  </si>
  <si>
    <t>EUB-Winghead shark</t>
  </si>
  <si>
    <t>EUB-Requin-marteau planeur</t>
  </si>
  <si>
    <t>Eusphyra blochii</t>
  </si>
  <si>
    <t>GTF</t>
  </si>
  <si>
    <t>GTF-Guitarfishes, etc. nei</t>
  </si>
  <si>
    <t>GTF-Guitares, etc. nca</t>
  </si>
  <si>
    <t>Rhinobatidae</t>
  </si>
  <si>
    <t>HAY</t>
  </si>
  <si>
    <t>HAY-Lined cat shark</t>
  </si>
  <si>
    <t>HAY-Holbiche des plages</t>
  </si>
  <si>
    <t>ISB</t>
  </si>
  <si>
    <t>ISB-Cookie cutter shark</t>
  </si>
  <si>
    <t>ISB-Squalelet féroce</t>
  </si>
  <si>
    <t>Isistius brasiliensis</t>
  </si>
  <si>
    <t>MAE</t>
  </si>
  <si>
    <t>MAE-Spotted eagle ray</t>
  </si>
  <si>
    <t>MAE-Aigle de mer léopard</t>
  </si>
  <si>
    <t>Aetobatus narinari</t>
  </si>
  <si>
    <t>MRJ</t>
  </si>
  <si>
    <t>MRJ-Javanese cownose ray (Flapnose ray)</t>
  </si>
  <si>
    <t>MRJ-Mourine javanaise</t>
  </si>
  <si>
    <t>Rhinoptera javanica</t>
  </si>
  <si>
    <t>NGB</t>
  </si>
  <si>
    <t>NGB-Lemon shark</t>
  </si>
  <si>
    <t>NGB-Requin citron</t>
  </si>
  <si>
    <t>Negaprion brevirostris</t>
  </si>
  <si>
    <t>OQX</t>
  </si>
  <si>
    <t>OQX-Brownbanded bambooshark</t>
  </si>
  <si>
    <t>OQX-Requin-chabot bambou</t>
  </si>
  <si>
    <t>Chiloscyllium punctatum</t>
  </si>
  <si>
    <t>RMA</t>
  </si>
  <si>
    <t>RMA-Alfred manta (reef manta ray)</t>
  </si>
  <si>
    <t>RMA-Manta de récif</t>
  </si>
  <si>
    <t>Mobula (Manta) alfredi</t>
  </si>
  <si>
    <t>RMB-Giant oceanic manta ray</t>
  </si>
  <si>
    <t>Mobula (Manta) birostris</t>
  </si>
  <si>
    <t>RMK</t>
  </si>
  <si>
    <t>RMK-Shortfin pygmy devil ray</t>
  </si>
  <si>
    <t>Mobula kuhlii</t>
  </si>
  <si>
    <t>RMM-Spinetail / giant devil ray</t>
  </si>
  <si>
    <t>RMO-Smoothtail mobula (Bentfin devilray)</t>
  </si>
  <si>
    <t>RMT</t>
  </si>
  <si>
    <t>RMT-Chilean devilray (sicklefin devilray)</t>
  </si>
  <si>
    <t>RMT-Diable du Chili</t>
  </si>
  <si>
    <t>Mobula tarapacana</t>
  </si>
  <si>
    <t>SUU</t>
  </si>
  <si>
    <t>SUU-Australian angelshark</t>
  </si>
  <si>
    <t>SUU-Ange de mer australien</t>
  </si>
  <si>
    <t>Squatina australis</t>
  </si>
  <si>
    <t>TFM</t>
  </si>
  <si>
    <t>TFM-Whiskery shark</t>
  </si>
  <si>
    <t>TFM-Émissole moustachue</t>
  </si>
  <si>
    <t>Furgaleus macki</t>
  </si>
  <si>
    <t>TSK</t>
  </si>
  <si>
    <t>TSK-Flapnose houndshark</t>
  </si>
  <si>
    <t>TSK-Virli à clapet</t>
  </si>
  <si>
    <t>Scylliogaleus quecketti</t>
  </si>
  <si>
    <t>APO</t>
  </si>
  <si>
    <t>APO-Cardinal fishes, etc. nei</t>
  </si>
  <si>
    <t>APO-Apogonidés nca</t>
  </si>
  <si>
    <t>Apogonidae</t>
  </si>
  <si>
    <t>BOC</t>
  </si>
  <si>
    <t>BOC-Boarfish</t>
  </si>
  <si>
    <t>BOC-Sanglier</t>
  </si>
  <si>
    <t>Capros aper</t>
  </si>
  <si>
    <t>BOG</t>
  </si>
  <si>
    <t>BOG-Bogue</t>
  </si>
  <si>
    <t>Boops boops</t>
  </si>
  <si>
    <t>BON</t>
  </si>
  <si>
    <t>BON-Atlantic bonito</t>
  </si>
  <si>
    <t>BON-Bonite à dos rayé</t>
  </si>
  <si>
    <t>Sarda sarda</t>
  </si>
  <si>
    <t>BSR</t>
  </si>
  <si>
    <t>BSR-Brazilian sardinella</t>
  </si>
  <si>
    <t>BSR-Sardinelle de Brésil</t>
  </si>
  <si>
    <t>Sardinella brasiliensis</t>
  </si>
  <si>
    <t>CHP</t>
  </si>
  <si>
    <t>CHP-South American pilchard</t>
  </si>
  <si>
    <t>CHP-Pilchard sudaméricain</t>
  </si>
  <si>
    <t>Sardinops sagax</t>
  </si>
  <si>
    <t>CJX</t>
  </si>
  <si>
    <t>CJX-Fusiliers nei</t>
  </si>
  <si>
    <t>CJX-Fusiliers nca</t>
  </si>
  <si>
    <t>Caesionidae</t>
  </si>
  <si>
    <t>CLP</t>
  </si>
  <si>
    <t>CLP-Herrings, sardines nei</t>
  </si>
  <si>
    <t>CLP-Harengs, sardines nca</t>
  </si>
  <si>
    <t>Clupeidae</t>
  </si>
  <si>
    <t xml:space="preserve">DOB </t>
  </si>
  <si>
    <t>DOB -Wolf- herring</t>
  </si>
  <si>
    <t>DOB -Chirocentre dorab</t>
  </si>
  <si>
    <t>EAG-Eagle Rays</t>
  </si>
  <si>
    <t>EAG-Aigles de mer nca</t>
  </si>
  <si>
    <t>ENR</t>
  </si>
  <si>
    <t>ENR-Anchovies nei</t>
  </si>
  <si>
    <t>ENR-Anchois nca</t>
  </si>
  <si>
    <t>Engraulis spp</t>
  </si>
  <si>
    <t>JAA</t>
  </si>
  <si>
    <t>JAA-Blue jack mackerel</t>
  </si>
  <si>
    <t>JAA-Chinchard du large</t>
  </si>
  <si>
    <t>Trachurus picturatus</t>
  </si>
  <si>
    <t>JAN</t>
  </si>
  <si>
    <t>JAN-Japanese anchovy</t>
  </si>
  <si>
    <t>JAN-Anchois japonais</t>
  </si>
  <si>
    <t>Engraulis japonicus</t>
  </si>
  <si>
    <t>JAX</t>
  </si>
  <si>
    <t>JAX-Jack and horse mackerels nei</t>
  </si>
  <si>
    <t>JAX-Chinchards noirs nca</t>
  </si>
  <si>
    <t>Trachurus spp</t>
  </si>
  <si>
    <t>MAC</t>
  </si>
  <si>
    <t>MAC-Atlantic mackerel</t>
  </si>
  <si>
    <t>MAC-Maquereau commun</t>
  </si>
  <si>
    <t>Scomber scombrus</t>
  </si>
  <si>
    <t>MAS</t>
  </si>
  <si>
    <t>MAS-Chub mackerel</t>
  </si>
  <si>
    <t>MAS-Maquereau espagnol</t>
  </si>
  <si>
    <t>Scomber japonicus</t>
  </si>
  <si>
    <t>MAX</t>
  </si>
  <si>
    <t>MAX-Mackerels nei</t>
  </si>
  <si>
    <t>MAX-Maquereaux nca</t>
  </si>
  <si>
    <t>Scombridae</t>
  </si>
  <si>
    <t>MIL</t>
  </si>
  <si>
    <t>MIL-Milkfish</t>
  </si>
  <si>
    <t>MIL-Chano</t>
  </si>
  <si>
    <t>Chanos chanos</t>
  </si>
  <si>
    <t>MSB</t>
  </si>
  <si>
    <t>MSB-River sardine</t>
  </si>
  <si>
    <t>Mesobola brevianalis</t>
  </si>
  <si>
    <t>OMZ</t>
  </si>
  <si>
    <t>OMZ-Squids nei</t>
  </si>
  <si>
    <t>OMZ-Encornets nca</t>
  </si>
  <si>
    <t>Ommastrephidae</t>
  </si>
  <si>
    <t>PIL</t>
  </si>
  <si>
    <t>PIL-European pilchard(=Sardine)</t>
  </si>
  <si>
    <t>PIL-Sardine commune</t>
  </si>
  <si>
    <t>Sardina pilchardus</t>
  </si>
  <si>
    <t>QUM</t>
  </si>
  <si>
    <t>QUM-Queensland school mackerel</t>
  </si>
  <si>
    <t>QUM-Thazard du Queensland</t>
  </si>
  <si>
    <t>Scomberomorus queenslandicus</t>
  </si>
  <si>
    <t>RSA</t>
  </si>
  <si>
    <t>RSA-Japanese scad</t>
  </si>
  <si>
    <t>RSA-Comète japonaise</t>
  </si>
  <si>
    <t>Decapterus maruadsi</t>
  </si>
  <si>
    <t>SAA</t>
  </si>
  <si>
    <t>SAA-Round sardinella</t>
  </si>
  <si>
    <t>SAA-Allache</t>
  </si>
  <si>
    <t>Sardinella aurita</t>
  </si>
  <si>
    <t>SAE</t>
  </si>
  <si>
    <t>SAE-Madeiran sardinella</t>
  </si>
  <si>
    <t>SAE-Grande allache</t>
  </si>
  <si>
    <t>Sardinella maderensis</t>
  </si>
  <si>
    <t>SAX</t>
  </si>
  <si>
    <t>SAX-Sauries nei</t>
  </si>
  <si>
    <t>SAX-Balaous, bananes de mer nca</t>
  </si>
  <si>
    <t>Scomberesocidae</t>
  </si>
  <si>
    <t>SHM</t>
  </si>
  <si>
    <t>SHM-Shark mackerel</t>
  </si>
  <si>
    <t>SHM-Thazard requin</t>
  </si>
  <si>
    <t>Grammatorcynus bicarinatus</t>
  </si>
  <si>
    <t>SIL</t>
  </si>
  <si>
    <t>SIL-Silversides (sand smelts) nei</t>
  </si>
  <si>
    <t>SIL-Athérinidés nca</t>
  </si>
  <si>
    <t>Atherinidae</t>
  </si>
  <si>
    <t>SNS</t>
  </si>
  <si>
    <t>SNS-Longspine snipefish</t>
  </si>
  <si>
    <t>SNS-Bécasse de mer</t>
  </si>
  <si>
    <t>Macroramphosus scolopax</t>
  </si>
  <si>
    <t>SPD</t>
  </si>
  <si>
    <t>SPD-Delicate round herring</t>
  </si>
  <si>
    <t>SPD-Hareng rond</t>
  </si>
  <si>
    <t>Spratelloides delicatulus</t>
  </si>
  <si>
    <t>SQU</t>
  </si>
  <si>
    <t>SQU-Various squids nei</t>
  </si>
  <si>
    <t>SQU-Calmars, encornets nca</t>
  </si>
  <si>
    <t>Loliginidae, Ommastrephidae</t>
  </si>
  <si>
    <t>SRH</t>
  </si>
  <si>
    <t>SRH-Silver-stripe round herring</t>
  </si>
  <si>
    <t>SRH-Hareng gracile</t>
  </si>
  <si>
    <t>Spratelloides gracilis</t>
  </si>
  <si>
    <t>TRG</t>
  </si>
  <si>
    <t>TRG-Grey triggerfish</t>
  </si>
  <si>
    <t>TRG-Baliste cabri</t>
  </si>
  <si>
    <t>Balistes carolinensis</t>
  </si>
  <si>
    <t>TRI</t>
  </si>
  <si>
    <t>TRI-Triggerfishes, durgons nei</t>
  </si>
  <si>
    <t>TRI-Balistes nca</t>
  </si>
  <si>
    <t>Balistidae</t>
  </si>
  <si>
    <t>AG30-Mantas, devil rays nei</t>
  </si>
  <si>
    <t>AG31-Cow sharks</t>
  </si>
  <si>
    <t>AG70</t>
  </si>
  <si>
    <t>AG70-Giant oceanic manta ray and Alfred manta (reef manta ray)</t>
  </si>
  <si>
    <t>Manta spp.</t>
  </si>
  <si>
    <t>AG71</t>
  </si>
  <si>
    <t>AG71-Devil rays nei</t>
  </si>
  <si>
    <t>Mobula spp.</t>
  </si>
  <si>
    <t>RCC-Retained - crew consumption</t>
  </si>
  <si>
    <t>RCC-Conservé à bord - consommation de l'équipage</t>
  </si>
  <si>
    <t>RFL-Retained - for landing / sale</t>
  </si>
  <si>
    <t>RFL-Conservé à bord - pour être débarqué / vendue</t>
  </si>
  <si>
    <t>RFR-Tronc retenu - ailerons retenus (requin seulement)</t>
  </si>
  <si>
    <t>RFT-Retained - at-sea-transhipment</t>
  </si>
  <si>
    <t>RFT-Conservé à bord - pour transbordement en 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</si>
</sst>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0"/>
      <name val="Arial"/>
    </font>
    <font>
      <sz val="10"/>
      <name val="Arial"/>
      <family val="2"/>
    </font>
    <font>
      <b/>
      <sz val="10"/>
      <name val="Arial"/>
      <family val="2"/>
    </font>
    <font>
      <b/>
      <sz val="10"/>
      <color indexed="48"/>
      <name val="Arial"/>
      <family val="2"/>
    </font>
    <font>
      <sz val="8"/>
      <name val="Arial"/>
      <family val="2"/>
    </font>
    <font>
      <sz val="9"/>
      <name val="Perpetua"/>
      <family val="1"/>
    </font>
    <font>
      <b/>
      <i/>
      <sz val="10"/>
      <name val="Arial"/>
      <family val="2"/>
    </font>
    <font>
      <b/>
      <sz val="9"/>
      <name val="Arial"/>
      <family val="2"/>
    </font>
    <font>
      <b/>
      <i/>
      <sz val="8"/>
      <name val="Arial"/>
      <family val="2"/>
    </font>
    <font>
      <u/>
      <sz val="10"/>
      <color indexed="12"/>
      <name val="Arial"/>
      <family val="2"/>
    </font>
    <font>
      <b/>
      <sz val="10"/>
      <name val="Arial"/>
      <family val="2"/>
    </font>
    <font>
      <sz val="10"/>
      <name val="Arial"/>
      <family val="2"/>
    </font>
    <font>
      <sz val="12"/>
      <name val="Times New Roman"/>
      <family val="1"/>
    </font>
    <font>
      <sz val="10"/>
      <color indexed="8"/>
      <name val="Arial"/>
      <family val="2"/>
    </font>
    <font>
      <sz val="9"/>
      <name val="Arial"/>
      <family val="2"/>
    </font>
    <font>
      <sz val="10"/>
      <color indexed="49"/>
      <name val="Arial"/>
      <family val="2"/>
    </font>
    <font>
      <b/>
      <sz val="10"/>
      <color indexed="49"/>
      <name val="Arial"/>
      <family val="2"/>
    </font>
    <font>
      <sz val="9"/>
      <color indexed="49"/>
      <name val="Arial"/>
      <family val="2"/>
    </font>
    <font>
      <sz val="10"/>
      <color indexed="8"/>
      <name val="Perpetua"/>
      <family val="1"/>
    </font>
    <font>
      <sz val="10"/>
      <color indexed="16"/>
      <name val="Arial"/>
      <family val="2"/>
    </font>
    <font>
      <b/>
      <sz val="12"/>
      <color indexed="43"/>
      <name val="Arial"/>
      <family val="2"/>
    </font>
    <font>
      <b/>
      <sz val="11"/>
      <color indexed="56"/>
      <name val="Arial"/>
      <family val="2"/>
    </font>
    <font>
      <sz val="9"/>
      <color indexed="8"/>
      <name val="Arial Narrow"/>
      <family val="2"/>
    </font>
    <font>
      <b/>
      <sz val="12"/>
      <name val="Times New Roman"/>
      <family val="1"/>
    </font>
    <font>
      <i/>
      <sz val="10"/>
      <name val="Arial"/>
      <family val="2"/>
    </font>
    <font>
      <b/>
      <sz val="20"/>
      <name val="Arial"/>
      <family val="2"/>
    </font>
    <font>
      <b/>
      <sz val="18"/>
      <name val="Arial"/>
      <family val="2"/>
    </font>
    <font>
      <i/>
      <sz val="7"/>
      <name val="Arial"/>
      <family val="2"/>
    </font>
    <font>
      <u/>
      <sz val="14"/>
      <color indexed="9"/>
      <name val="Wingdings"/>
      <charset val="2"/>
    </font>
    <font>
      <u/>
      <sz val="16"/>
      <color indexed="9"/>
      <name val="Wingdings"/>
      <charset val="2"/>
    </font>
    <font>
      <sz val="8"/>
      <color rgb="FF000000"/>
      <name val="Tahoma"/>
      <family val="2"/>
    </font>
    <font>
      <i/>
      <sz val="11"/>
      <color rgb="FF000000"/>
      <name val="Times New Roman"/>
      <family val="1"/>
    </font>
    <font>
      <i/>
      <sz val="10"/>
      <color indexed="8"/>
      <name val="Arial"/>
      <family val="2"/>
    </font>
    <font>
      <sz val="11"/>
      <color indexed="8"/>
      <name val="Calibri"/>
      <family val="2"/>
    </font>
  </fonts>
  <fills count="13">
    <fill>
      <patternFill patternType="none"/>
    </fill>
    <fill>
      <patternFill patternType="gray125"/>
    </fill>
    <fill>
      <patternFill patternType="gray0625">
        <bgColor indexed="9"/>
      </patternFill>
    </fill>
    <fill>
      <patternFill patternType="solid">
        <fgColor indexed="9"/>
        <bgColor indexed="64"/>
      </patternFill>
    </fill>
    <fill>
      <patternFill patternType="solid">
        <fgColor indexed="43"/>
        <bgColor indexed="64"/>
      </patternFill>
    </fill>
    <fill>
      <patternFill patternType="solid">
        <fgColor indexed="22"/>
        <bgColor indexed="64"/>
      </patternFill>
    </fill>
    <fill>
      <patternFill patternType="solid">
        <fgColor indexed="44"/>
        <bgColor indexed="64"/>
      </patternFill>
    </fill>
    <fill>
      <patternFill patternType="solid">
        <fgColor indexed="27"/>
        <bgColor indexed="64"/>
      </patternFill>
    </fill>
    <fill>
      <patternFill patternType="solid">
        <fgColor indexed="21"/>
        <bgColor indexed="64"/>
      </patternFill>
    </fill>
    <fill>
      <patternFill patternType="solid">
        <fgColor indexed="4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0"/>
        <bgColor indexed="6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s>
  <cellStyleXfs count="4">
    <xf numFmtId="0" fontId="0" fillId="0" borderId="0"/>
    <xf numFmtId="0" fontId="9" fillId="0" borderId="0" applyNumberFormat="0" applyFill="0" applyBorder="0" applyAlignment="0" applyProtection="0">
      <alignment vertical="top"/>
      <protection locked="0"/>
    </xf>
    <xf numFmtId="0" fontId="13" fillId="0" borderId="0"/>
    <xf numFmtId="0" fontId="13" fillId="0" borderId="0"/>
  </cellStyleXfs>
  <cellXfs count="177">
    <xf numFmtId="0" fontId="0" fillId="0" borderId="0" xfId="0"/>
    <xf numFmtId="0" fontId="0" fillId="2" borderId="1" xfId="0" applyFill="1" applyBorder="1"/>
    <xf numFmtId="0" fontId="0" fillId="2" borderId="2" xfId="0" applyFill="1" applyBorder="1"/>
    <xf numFmtId="0" fontId="0" fillId="3" borderId="0" xfId="0" applyFill="1"/>
    <xf numFmtId="0" fontId="0" fillId="2" borderId="3" xfId="0" applyFill="1" applyBorder="1"/>
    <xf numFmtId="0" fontId="0" fillId="2" borderId="0" xfId="0" applyFill="1"/>
    <xf numFmtId="0" fontId="10" fillId="0" borderId="0" xfId="0" applyFont="1"/>
    <xf numFmtId="0" fontId="5" fillId="0" borderId="0" xfId="0" applyFont="1"/>
    <xf numFmtId="0" fontId="0" fillId="2" borderId="0" xfId="0" applyFill="1" applyAlignment="1">
      <alignment horizontal="center"/>
    </xf>
    <xf numFmtId="0" fontId="12" fillId="0" borderId="0" xfId="0" applyFont="1"/>
    <xf numFmtId="0" fontId="11" fillId="0" borderId="0" xfId="0" applyFont="1"/>
    <xf numFmtId="0" fontId="0" fillId="3" borderId="4" xfId="0" applyFill="1" applyBorder="1"/>
    <xf numFmtId="0" fontId="9" fillId="3" borderId="4" xfId="1" applyFill="1" applyBorder="1" applyAlignment="1" applyProtection="1"/>
    <xf numFmtId="0" fontId="17" fillId="3" borderId="0" xfId="0" applyFont="1" applyFill="1"/>
    <xf numFmtId="0" fontId="0" fillId="3" borderId="0" xfId="0" applyFill="1" applyProtection="1">
      <protection locked="0"/>
    </xf>
    <xf numFmtId="0" fontId="0" fillId="2" borderId="3" xfId="0" applyFill="1" applyBorder="1" applyProtection="1">
      <protection locked="0"/>
    </xf>
    <xf numFmtId="0" fontId="0" fillId="2" borderId="0" xfId="0" applyFill="1" applyProtection="1">
      <protection locked="0"/>
    </xf>
    <xf numFmtId="0" fontId="6" fillId="3" borderId="0" xfId="0" applyFont="1" applyFill="1"/>
    <xf numFmtId="0" fontId="11" fillId="2" borderId="0" xfId="0" applyFont="1" applyFill="1" applyProtection="1">
      <protection locked="0"/>
    </xf>
    <xf numFmtId="0" fontId="19" fillId="3" borderId="0" xfId="0" applyFont="1" applyFill="1"/>
    <xf numFmtId="0" fontId="0" fillId="0" borderId="0" xfId="0" applyProtection="1">
      <protection locked="0"/>
    </xf>
    <xf numFmtId="0" fontId="20" fillId="4" borderId="5" xfId="0" applyFont="1" applyFill="1" applyBorder="1" applyProtection="1">
      <protection locked="0"/>
    </xf>
    <xf numFmtId="0" fontId="0" fillId="5" borderId="0" xfId="0" applyFill="1" applyProtection="1">
      <protection locked="0"/>
    </xf>
    <xf numFmtId="0" fontId="2" fillId="5" borderId="0" xfId="0" applyFont="1" applyFill="1" applyAlignment="1" applyProtection="1">
      <alignment horizontal="right"/>
      <protection hidden="1"/>
    </xf>
    <xf numFmtId="0" fontId="2" fillId="5" borderId="6" xfId="0" applyFont="1" applyFill="1" applyBorder="1" applyProtection="1">
      <protection hidden="1"/>
    </xf>
    <xf numFmtId="0" fontId="3" fillId="5" borderId="0" xfId="0" applyFont="1" applyFill="1" applyProtection="1">
      <protection hidden="1"/>
    </xf>
    <xf numFmtId="0" fontId="0" fillId="5" borderId="0" xfId="0" applyFill="1" applyAlignment="1" applyProtection="1">
      <alignment horizontal="right"/>
      <protection locked="0"/>
    </xf>
    <xf numFmtId="0" fontId="21" fillId="5" borderId="0" xfId="0" applyFont="1" applyFill="1" applyProtection="1">
      <protection locked="0"/>
    </xf>
    <xf numFmtId="0" fontId="21" fillId="5" borderId="0" xfId="0" applyFont="1" applyFill="1" applyProtection="1">
      <protection hidden="1"/>
    </xf>
    <xf numFmtId="0" fontId="0" fillId="3" borderId="0" xfId="0" applyFill="1" applyAlignment="1">
      <alignment horizontal="center" vertical="justify" wrapText="1"/>
    </xf>
    <xf numFmtId="0" fontId="15" fillId="3" borderId="0" xfId="0" applyFont="1" applyFill="1"/>
    <xf numFmtId="0" fontId="16" fillId="3" borderId="0" xfId="0" applyFont="1" applyFill="1"/>
    <xf numFmtId="0" fontId="11" fillId="3" borderId="4" xfId="0" applyFont="1" applyFill="1" applyBorder="1"/>
    <xf numFmtId="0" fontId="2" fillId="3" borderId="4" xfId="0" applyFont="1" applyFill="1" applyBorder="1"/>
    <xf numFmtId="0" fontId="23" fillId="3" borderId="4" xfId="0" applyFont="1" applyFill="1" applyBorder="1"/>
    <xf numFmtId="0" fontId="11" fillId="3" borderId="0" xfId="0" applyFont="1" applyFill="1" applyAlignment="1">
      <alignment horizontal="left" vertical="justify" wrapText="1"/>
    </xf>
    <xf numFmtId="0" fontId="11" fillId="3" borderId="0" xfId="0" applyFont="1" applyFill="1" applyAlignment="1">
      <alignment vertical="justify" wrapText="1"/>
    </xf>
    <xf numFmtId="0" fontId="0" fillId="3" borderId="0" xfId="0" applyFill="1" applyAlignment="1">
      <alignment horizontal="left" vertical="justify" wrapText="1"/>
    </xf>
    <xf numFmtId="0" fontId="0" fillId="3" borderId="0" xfId="0" applyFill="1" applyAlignment="1">
      <alignment horizontal="justify" vertical="justify" wrapText="1"/>
    </xf>
    <xf numFmtId="0" fontId="0" fillId="3" borderId="0" xfId="0" applyFill="1" applyAlignment="1">
      <alignment vertical="justify" wrapText="1"/>
    </xf>
    <xf numFmtId="0" fontId="24" fillId="3" borderId="0" xfId="0" applyFont="1" applyFill="1" applyAlignment="1">
      <alignment horizontal="left" vertical="justify" wrapText="1"/>
    </xf>
    <xf numFmtId="0" fontId="24" fillId="3" borderId="0" xfId="0" applyFont="1" applyFill="1" applyAlignment="1">
      <alignment horizontal="left" vertical="top" wrapText="1"/>
    </xf>
    <xf numFmtId="0" fontId="0" fillId="3" borderId="0" xfId="0" quotePrefix="1" applyFill="1" applyAlignment="1">
      <alignment horizontal="right"/>
    </xf>
    <xf numFmtId="0" fontId="0" fillId="3" borderId="0" xfId="0" applyFill="1" applyAlignment="1">
      <alignment horizontal="right" vertical="justify" wrapText="1"/>
    </xf>
    <xf numFmtId="0" fontId="0" fillId="3" borderId="0" xfId="0" applyFill="1" applyAlignment="1">
      <alignment horizontal="right"/>
    </xf>
    <xf numFmtId="0" fontId="0" fillId="3" borderId="0" xfId="0" applyFill="1" applyAlignment="1">
      <alignment horizontal="left" vertical="top" wrapText="1"/>
    </xf>
    <xf numFmtId="0" fontId="0" fillId="3" borderId="0" xfId="0" applyFill="1" applyAlignment="1">
      <alignment horizontal="left" wrapText="1"/>
    </xf>
    <xf numFmtId="0" fontId="28" fillId="8" borderId="0" xfId="1" applyFont="1" applyFill="1" applyAlignment="1" applyProtection="1">
      <alignment horizontal="center" vertical="center"/>
    </xf>
    <xf numFmtId="0" fontId="28" fillId="8" borderId="0" xfId="1" applyFont="1" applyFill="1" applyAlignment="1" applyProtection="1">
      <alignment horizontal="center" vertical="center"/>
      <protection locked="0"/>
    </xf>
    <xf numFmtId="0" fontId="29" fillId="8" borderId="0" xfId="1" applyFont="1" applyFill="1" applyAlignment="1" applyProtection="1">
      <alignment horizontal="center" vertical="center"/>
    </xf>
    <xf numFmtId="0" fontId="1" fillId="0" borderId="0" xfId="0" applyFont="1"/>
    <xf numFmtId="0" fontId="31" fillId="0" borderId="0" xfId="0" applyFont="1"/>
    <xf numFmtId="0" fontId="22" fillId="0" borderId="0" xfId="0" applyFont="1" applyAlignment="1">
      <alignment vertical="top"/>
    </xf>
    <xf numFmtId="0" fontId="18" fillId="0" borderId="9" xfId="0" applyFont="1" applyBorder="1" applyAlignment="1" applyProtection="1">
      <alignment vertical="top"/>
      <protection locked="0"/>
    </xf>
    <xf numFmtId="0" fontId="10" fillId="0" borderId="0" xfId="0" applyFont="1" applyProtection="1">
      <protection locked="0"/>
    </xf>
    <xf numFmtId="0" fontId="32" fillId="3" borderId="0" xfId="0" applyFont="1" applyFill="1" applyAlignment="1">
      <alignment vertical="top"/>
    </xf>
    <xf numFmtId="0" fontId="0" fillId="12" borderId="0" xfId="0" applyFill="1" applyProtection="1">
      <protection locked="0"/>
    </xf>
    <xf numFmtId="0" fontId="0" fillId="0" borderId="12" xfId="0" applyBorder="1" applyAlignment="1" applyProtection="1">
      <alignment horizontal="left"/>
      <protection hidden="1"/>
    </xf>
    <xf numFmtId="0" fontId="0" fillId="0" borderId="12" xfId="0" applyBorder="1" applyProtection="1">
      <protection hidden="1"/>
    </xf>
    <xf numFmtId="0" fontId="0" fillId="0" borderId="0" xfId="0" applyAlignment="1" applyProtection="1">
      <alignment horizontal="left"/>
      <protection hidden="1"/>
    </xf>
    <xf numFmtId="0" fontId="0" fillId="0" borderId="4" xfId="0" applyBorder="1" applyAlignment="1" applyProtection="1">
      <alignment horizontal="left"/>
      <protection hidden="1"/>
    </xf>
    <xf numFmtId="0" fontId="32" fillId="0" borderId="0" xfId="0" applyFont="1" applyAlignment="1">
      <alignment vertical="top"/>
    </xf>
    <xf numFmtId="0" fontId="0" fillId="0" borderId="4" xfId="0" applyBorder="1" applyAlignment="1">
      <alignment wrapText="1"/>
    </xf>
    <xf numFmtId="0" fontId="0" fillId="0" borderId="8" xfId="0" applyBorder="1" applyAlignment="1">
      <alignment wrapText="1"/>
    </xf>
    <xf numFmtId="0" fontId="0" fillId="0" borderId="12" xfId="0" applyBorder="1" applyAlignment="1">
      <alignment horizontal="left" wrapText="1"/>
    </xf>
    <xf numFmtId="0" fontId="0" fillId="0" borderId="12" xfId="0" applyBorder="1" applyAlignment="1">
      <alignment wrapText="1"/>
    </xf>
    <xf numFmtId="0" fontId="0" fillId="0" borderId="9" xfId="0" applyBorder="1" applyAlignment="1" applyProtection="1">
      <alignment horizontal="left"/>
      <protection hidden="1"/>
    </xf>
    <xf numFmtId="0" fontId="0" fillId="0" borderId="8" xfId="0" applyBorder="1" applyAlignment="1" applyProtection="1">
      <alignment horizontal="left"/>
      <protection hidden="1"/>
    </xf>
    <xf numFmtId="0" fontId="0" fillId="0" borderId="7" xfId="0" applyBorder="1" applyAlignment="1" applyProtection="1">
      <alignment horizontal="left"/>
      <protection hidden="1"/>
    </xf>
    <xf numFmtId="0" fontId="0" fillId="0" borderId="11" xfId="0" applyBorder="1" applyAlignment="1" applyProtection="1">
      <alignment horizontal="left"/>
      <protection hidden="1"/>
    </xf>
    <xf numFmtId="0" fontId="18" fillId="0" borderId="10" xfId="0" applyFont="1" applyBorder="1" applyAlignment="1" applyProtection="1">
      <alignment vertical="top"/>
      <protection locked="0"/>
    </xf>
    <xf numFmtId="0" fontId="18" fillId="0" borderId="13" xfId="0" applyFont="1" applyBorder="1" applyAlignment="1" applyProtection="1">
      <alignment vertical="top"/>
      <protection locked="0"/>
    </xf>
    <xf numFmtId="0" fontId="18" fillId="0" borderId="12" xfId="0" applyFont="1" applyBorder="1" applyAlignment="1" applyProtection="1">
      <alignment vertical="top"/>
      <protection locked="0"/>
    </xf>
    <xf numFmtId="0" fontId="18" fillId="0" borderId="20" xfId="0" applyFont="1" applyBorder="1" applyAlignment="1" applyProtection="1">
      <alignment vertical="top"/>
      <protection locked="0"/>
    </xf>
    <xf numFmtId="0" fontId="18" fillId="0" borderId="21" xfId="0" applyFont="1" applyBorder="1" applyAlignment="1" applyProtection="1">
      <alignment vertical="top"/>
      <protection locked="0"/>
    </xf>
    <xf numFmtId="0" fontId="0" fillId="0" borderId="9" xfId="0" applyBorder="1" applyAlignment="1">
      <alignment wrapText="1"/>
    </xf>
    <xf numFmtId="0" fontId="0" fillId="0" borderId="13" xfId="0" applyBorder="1" applyAlignment="1">
      <alignment wrapText="1"/>
    </xf>
    <xf numFmtId="0" fontId="0" fillId="0" borderId="7" xfId="0" applyBorder="1" applyAlignment="1">
      <alignment wrapText="1"/>
    </xf>
    <xf numFmtId="0" fontId="0" fillId="0" borderId="11" xfId="0" applyBorder="1" applyAlignment="1">
      <alignment wrapText="1"/>
    </xf>
    <xf numFmtId="0" fontId="0" fillId="0" borderId="0" xfId="0" applyProtection="1">
      <protection hidden="1"/>
    </xf>
    <xf numFmtId="0" fontId="2" fillId="5" borderId="3" xfId="0" applyFont="1" applyFill="1" applyBorder="1" applyAlignment="1" applyProtection="1">
      <alignment horizontal="left"/>
      <protection hidden="1"/>
    </xf>
    <xf numFmtId="0" fontId="6" fillId="2" borderId="0" xfId="0" applyFont="1" applyFill="1" applyProtection="1">
      <protection locked="0"/>
    </xf>
    <xf numFmtId="0" fontId="0" fillId="10" borderId="0" xfId="0" applyFill="1" applyProtection="1">
      <protection locked="0"/>
    </xf>
    <xf numFmtId="0" fontId="2" fillId="10" borderId="3" xfId="0" applyFont="1" applyFill="1" applyBorder="1" applyAlignment="1" applyProtection="1">
      <alignment horizontal="left"/>
      <protection hidden="1"/>
    </xf>
    <xf numFmtId="0" fontId="0" fillId="10" borderId="0" xfId="0" applyFill="1" applyAlignment="1" applyProtection="1">
      <alignment horizontal="center"/>
      <protection locked="0"/>
    </xf>
    <xf numFmtId="0" fontId="2" fillId="10" borderId="0" xfId="0" applyFont="1" applyFill="1" applyProtection="1">
      <protection hidden="1"/>
    </xf>
    <xf numFmtId="49" fontId="2" fillId="10" borderId="0" xfId="0" applyNumberFormat="1" applyFont="1" applyFill="1" applyAlignment="1" applyProtection="1">
      <alignment horizontal="center"/>
      <protection locked="0" hidden="1"/>
    </xf>
    <xf numFmtId="0" fontId="2" fillId="10" borderId="0" xfId="0" applyFont="1" applyFill="1" applyAlignment="1" applyProtection="1">
      <alignment horizontal="left"/>
      <protection hidden="1"/>
    </xf>
    <xf numFmtId="49" fontId="1" fillId="10" borderId="0" xfId="0" applyNumberFormat="1" applyFont="1" applyFill="1" applyAlignment="1" applyProtection="1">
      <alignment horizontal="center"/>
      <protection locked="0"/>
    </xf>
    <xf numFmtId="49" fontId="0" fillId="10" borderId="0" xfId="0" applyNumberFormat="1" applyFill="1" applyAlignment="1" applyProtection="1">
      <alignment horizontal="center"/>
      <protection locked="0"/>
    </xf>
    <xf numFmtId="49" fontId="2" fillId="6" borderId="4" xfId="0" applyNumberFormat="1" applyFont="1" applyFill="1" applyBorder="1" applyAlignment="1" applyProtection="1">
      <alignment horizontal="left"/>
      <protection locked="0" hidden="1"/>
    </xf>
    <xf numFmtId="0" fontId="25" fillId="2" borderId="0" xfId="0" applyFont="1" applyFill="1" applyAlignment="1" applyProtection="1">
      <alignment horizontal="center" vertical="center"/>
      <protection hidden="1"/>
    </xf>
    <xf numFmtId="0" fontId="26" fillId="2" borderId="0" xfId="0" applyFont="1" applyFill="1" applyAlignment="1" applyProtection="1">
      <alignment horizontal="center"/>
      <protection hidden="1"/>
    </xf>
    <xf numFmtId="0" fontId="21" fillId="5" borderId="3" xfId="0" applyFont="1" applyFill="1" applyBorder="1" applyAlignment="1" applyProtection="1">
      <alignment horizontal="left"/>
      <protection hidden="1"/>
    </xf>
    <xf numFmtId="0" fontId="14" fillId="7" borderId="4" xfId="0" applyFont="1" applyFill="1" applyBorder="1" applyAlignment="1" applyProtection="1">
      <alignment horizontal="center" vertical="top" wrapText="1"/>
      <protection locked="0"/>
    </xf>
    <xf numFmtId="0" fontId="1" fillId="7" borderId="4" xfId="0" applyFont="1" applyFill="1" applyBorder="1" applyAlignment="1" applyProtection="1">
      <alignment horizontal="center" vertical="top" wrapText="1"/>
      <protection locked="0"/>
    </xf>
    <xf numFmtId="0" fontId="0" fillId="11" borderId="4" xfId="0" applyFill="1" applyBorder="1" applyAlignment="1" applyProtection="1">
      <alignment vertical="top" wrapText="1"/>
      <protection locked="0"/>
    </xf>
    <xf numFmtId="0" fontId="2" fillId="7" borderId="4" xfId="0" applyFont="1" applyFill="1" applyBorder="1" applyAlignment="1" applyProtection="1">
      <alignment horizontal="center" vertical="top" wrapText="1"/>
      <protection locked="0"/>
    </xf>
    <xf numFmtId="0" fontId="0" fillId="6" borderId="4" xfId="0" applyFill="1" applyBorder="1" applyAlignment="1" applyProtection="1">
      <alignment vertical="top" wrapText="1"/>
      <protection locked="0"/>
    </xf>
    <xf numFmtId="0" fontId="27" fillId="9" borderId="4" xfId="0" applyFont="1" applyFill="1" applyBorder="1" applyAlignment="1" applyProtection="1">
      <alignment horizontal="center" vertical="center"/>
      <protection hidden="1"/>
    </xf>
    <xf numFmtId="0" fontId="25" fillId="2" borderId="2" xfId="0" applyFont="1" applyFill="1" applyBorder="1" applyAlignment="1" applyProtection="1">
      <alignment horizontal="center" vertical="center"/>
      <protection hidden="1"/>
    </xf>
    <xf numFmtId="0" fontId="0" fillId="2" borderId="2" xfId="0" applyFill="1" applyBorder="1" applyProtection="1">
      <protection locked="0"/>
    </xf>
    <xf numFmtId="0" fontId="0" fillId="2" borderId="5" xfId="0" applyFill="1" applyBorder="1" applyProtection="1">
      <protection locked="0"/>
    </xf>
    <xf numFmtId="0" fontId="0" fillId="2" borderId="22" xfId="0" applyFill="1" applyBorder="1" applyProtection="1">
      <protection locked="0"/>
    </xf>
    <xf numFmtId="0" fontId="0" fillId="2" borderId="22" xfId="0" applyFill="1" applyBorder="1"/>
    <xf numFmtId="0" fontId="0" fillId="5" borderId="22" xfId="0" applyFill="1" applyBorder="1" applyProtection="1">
      <protection locked="0"/>
    </xf>
    <xf numFmtId="0" fontId="0" fillId="10" borderId="22" xfId="0" applyFill="1" applyBorder="1" applyProtection="1">
      <protection locked="0"/>
    </xf>
    <xf numFmtId="0" fontId="0" fillId="10" borderId="3" xfId="0" applyFill="1" applyBorder="1" applyProtection="1">
      <protection locked="0"/>
    </xf>
    <xf numFmtId="0" fontId="21" fillId="5" borderId="3" xfId="0" applyFont="1" applyFill="1" applyBorder="1" applyProtection="1">
      <protection hidden="1"/>
    </xf>
    <xf numFmtId="0" fontId="0" fillId="5" borderId="3" xfId="0" applyFill="1" applyBorder="1" applyProtection="1">
      <protection locked="0"/>
    </xf>
    <xf numFmtId="0" fontId="8" fillId="2" borderId="3" xfId="0" applyFont="1" applyFill="1" applyBorder="1" applyProtection="1">
      <protection locked="0"/>
    </xf>
    <xf numFmtId="0" fontId="4" fillId="7" borderId="4" xfId="0" applyFont="1" applyFill="1" applyBorder="1" applyAlignment="1" applyProtection="1">
      <alignment horizontal="center" wrapText="1"/>
      <protection locked="0" hidden="1"/>
    </xf>
    <xf numFmtId="0" fontId="0" fillId="0" borderId="13" xfId="0" applyBorder="1" applyAlignment="1" applyProtection="1">
      <alignment horizontal="left"/>
      <protection locked="0" hidden="1"/>
    </xf>
    <xf numFmtId="0" fontId="0" fillId="0" borderId="19" xfId="0" applyBorder="1" applyAlignment="1" applyProtection="1">
      <alignment horizontal="left"/>
      <protection hidden="1"/>
    </xf>
    <xf numFmtId="0" fontId="13" fillId="0" borderId="4" xfId="0" applyFont="1" applyBorder="1" applyAlignment="1" applyProtection="1">
      <alignment horizontal="left"/>
      <protection hidden="1"/>
    </xf>
    <xf numFmtId="0" fontId="33" fillId="0" borderId="4" xfId="3" applyFont="1" applyBorder="1" applyAlignment="1" applyProtection="1">
      <alignment horizontal="left"/>
      <protection hidden="1"/>
    </xf>
    <xf numFmtId="0" fontId="13" fillId="0" borderId="19" xfId="0" applyFont="1" applyBorder="1" applyAlignment="1" applyProtection="1">
      <alignment horizontal="left"/>
      <protection hidden="1"/>
    </xf>
    <xf numFmtId="0" fontId="0" fillId="0" borderId="20" xfId="0" applyBorder="1" applyAlignment="1" applyProtection="1">
      <alignment horizontal="left"/>
      <protection hidden="1"/>
    </xf>
    <xf numFmtId="0" fontId="0" fillId="0" borderId="6" xfId="0" applyBorder="1" applyAlignment="1" applyProtection="1">
      <alignment horizontal="left"/>
      <protection hidden="1"/>
    </xf>
    <xf numFmtId="0" fontId="13" fillId="3" borderId="20" xfId="2" applyFill="1" applyBorder="1"/>
    <xf numFmtId="0" fontId="13" fillId="3" borderId="19" xfId="2" applyFill="1" applyBorder="1"/>
    <xf numFmtId="0" fontId="13" fillId="3" borderId="6" xfId="2" applyFill="1" applyBorder="1"/>
    <xf numFmtId="0" fontId="0" fillId="3" borderId="0" xfId="0" applyFill="1" applyAlignment="1">
      <alignment horizontal="center" vertical="justify" wrapText="1"/>
    </xf>
    <xf numFmtId="0" fontId="0" fillId="3" borderId="0" xfId="0" applyFill="1" applyAlignment="1">
      <alignment horizontal="center" wrapText="1"/>
    </xf>
    <xf numFmtId="0" fontId="11" fillId="3" borderId="0" xfId="0" applyFont="1" applyFill="1" applyAlignment="1">
      <alignment horizontal="left" vertical="justify" wrapText="1"/>
    </xf>
    <xf numFmtId="0" fontId="1" fillId="3" borderId="0" xfId="0" applyFont="1" applyFill="1" applyAlignment="1">
      <alignment horizontal="left" vertical="justify" wrapText="1"/>
    </xf>
    <xf numFmtId="0" fontId="0" fillId="3" borderId="0" xfId="0" applyFill="1" applyAlignment="1">
      <alignment horizontal="left" vertical="justify" wrapText="1"/>
    </xf>
    <xf numFmtId="0" fontId="11" fillId="3" borderId="0" xfId="1" applyFont="1" applyFill="1" applyBorder="1" applyAlignment="1" applyProtection="1">
      <alignment horizontal="left" vertical="justify" wrapText="1" indent="2"/>
    </xf>
    <xf numFmtId="0" fontId="9" fillId="3" borderId="0" xfId="1" applyFill="1" applyBorder="1" applyAlignment="1" applyProtection="1">
      <alignment horizontal="left" vertical="justify" wrapText="1" indent="2"/>
    </xf>
    <xf numFmtId="0" fontId="24" fillId="3" borderId="0" xfId="0" applyFont="1" applyFill="1" applyAlignment="1">
      <alignment horizontal="left" vertical="justify" wrapText="1"/>
    </xf>
    <xf numFmtId="0" fontId="24" fillId="3" borderId="0" xfId="0" applyFont="1" applyFill="1" applyAlignment="1">
      <alignment horizontal="left" vertical="top" wrapText="1"/>
    </xf>
    <xf numFmtId="0" fontId="2" fillId="10" borderId="4" xfId="0" applyFont="1" applyFill="1" applyBorder="1" applyAlignment="1" applyProtection="1">
      <alignment horizontal="center" vertical="center"/>
      <protection hidden="1"/>
    </xf>
    <xf numFmtId="0" fontId="2" fillId="5" borderId="4" xfId="0" applyFont="1" applyFill="1" applyBorder="1" applyAlignment="1" applyProtection="1">
      <alignment horizontal="center" vertical="center" wrapText="1"/>
      <protection hidden="1"/>
    </xf>
    <xf numFmtId="0" fontId="1" fillId="6" borderId="6" xfId="0" applyFont="1" applyFill="1" applyBorder="1" applyAlignment="1" applyProtection="1">
      <alignment horizontal="left" vertical="top" wrapText="1"/>
      <protection locked="0"/>
    </xf>
    <xf numFmtId="0" fontId="0" fillId="6" borderId="21" xfId="0" applyFill="1" applyBorder="1" applyAlignment="1" applyProtection="1">
      <alignment horizontal="left" vertical="top" wrapText="1"/>
      <protection locked="0"/>
    </xf>
    <xf numFmtId="0" fontId="0" fillId="6" borderId="20" xfId="0" applyFill="1" applyBorder="1" applyAlignment="1" applyProtection="1">
      <alignment horizontal="left" vertical="top" wrapText="1"/>
      <protection locked="0"/>
    </xf>
    <xf numFmtId="0" fontId="0" fillId="6" borderId="14" xfId="0" applyFill="1" applyBorder="1" applyAlignment="1" applyProtection="1">
      <alignment horizontal="left" vertical="top" wrapText="1"/>
      <protection locked="0"/>
    </xf>
    <xf numFmtId="0" fontId="0" fillId="6" borderId="0" xfId="0" applyFill="1" applyAlignment="1" applyProtection="1">
      <alignment horizontal="left" vertical="top" wrapText="1"/>
      <protection locked="0"/>
    </xf>
    <xf numFmtId="0" fontId="0" fillId="6" borderId="18" xfId="0" applyFill="1" applyBorder="1" applyAlignment="1" applyProtection="1">
      <alignment horizontal="left" vertical="top" wrapText="1"/>
      <protection locked="0"/>
    </xf>
    <xf numFmtId="0" fontId="0" fillId="6" borderId="11" xfId="0" applyFill="1" applyBorder="1" applyAlignment="1" applyProtection="1">
      <alignment horizontal="left" vertical="top" wrapText="1"/>
      <protection locked="0"/>
    </xf>
    <xf numFmtId="0" fontId="0" fillId="6" borderId="12" xfId="0" applyFill="1" applyBorder="1" applyAlignment="1" applyProtection="1">
      <alignment horizontal="left" vertical="top" wrapText="1"/>
      <protection locked="0"/>
    </xf>
    <xf numFmtId="0" fontId="0" fillId="6" borderId="13" xfId="0" applyFill="1" applyBorder="1" applyAlignment="1" applyProtection="1">
      <alignment horizontal="left" vertical="top" wrapText="1"/>
      <protection locked="0"/>
    </xf>
    <xf numFmtId="0" fontId="2" fillId="5" borderId="4" xfId="0" applyFont="1" applyFill="1" applyBorder="1" applyAlignment="1" applyProtection="1">
      <alignment horizontal="center" vertical="center"/>
      <protection hidden="1"/>
    </xf>
    <xf numFmtId="0" fontId="2" fillId="5" borderId="0" xfId="0" applyFont="1" applyFill="1" applyAlignment="1" applyProtection="1">
      <alignment horizontal="left"/>
      <protection hidden="1"/>
    </xf>
    <xf numFmtId="0" fontId="2" fillId="5" borderId="18" xfId="0" applyFont="1" applyFill="1" applyBorder="1" applyAlignment="1" applyProtection="1">
      <alignment horizontal="left"/>
      <protection hidden="1"/>
    </xf>
    <xf numFmtId="0" fontId="0" fillId="6" borderId="8" xfId="0" applyFill="1" applyBorder="1" applyAlignment="1" applyProtection="1">
      <alignment horizontal="center"/>
      <protection locked="0"/>
    </xf>
    <xf numFmtId="0" fontId="0" fillId="6" borderId="9" xfId="0" applyFill="1" applyBorder="1" applyAlignment="1" applyProtection="1">
      <alignment horizontal="center"/>
      <protection locked="0"/>
    </xf>
    <xf numFmtId="0" fontId="0" fillId="7" borderId="8" xfId="0" applyFill="1" applyBorder="1" applyAlignment="1" applyProtection="1">
      <alignment horizontal="left" vertical="top" wrapText="1"/>
      <protection locked="0"/>
    </xf>
    <xf numFmtId="0" fontId="0" fillId="7" borderId="10" xfId="0" applyFill="1" applyBorder="1" applyAlignment="1" applyProtection="1">
      <alignment horizontal="left" vertical="top" wrapText="1"/>
      <protection locked="0"/>
    </xf>
    <xf numFmtId="0" fontId="0" fillId="7" borderId="9" xfId="0" applyFill="1" applyBorder="1" applyAlignment="1" applyProtection="1">
      <alignment horizontal="left" vertical="top" wrapText="1"/>
      <protection locked="0"/>
    </xf>
    <xf numFmtId="0" fontId="2" fillId="5" borderId="8" xfId="0" applyFont="1" applyFill="1" applyBorder="1" applyAlignment="1" applyProtection="1">
      <alignment horizontal="center"/>
      <protection hidden="1"/>
    </xf>
    <xf numFmtId="0" fontId="2" fillId="5" borderId="10" xfId="0" applyFont="1" applyFill="1" applyBorder="1" applyAlignment="1" applyProtection="1">
      <alignment horizontal="center"/>
      <protection hidden="1"/>
    </xf>
    <xf numFmtId="0" fontId="2" fillId="5" borderId="9" xfId="0" applyFont="1" applyFill="1" applyBorder="1" applyAlignment="1" applyProtection="1">
      <alignment horizontal="center"/>
      <protection hidden="1"/>
    </xf>
    <xf numFmtId="0" fontId="2" fillId="5" borderId="3" xfId="0" applyFont="1" applyFill="1" applyBorder="1" applyAlignment="1" applyProtection="1">
      <alignment horizontal="left"/>
      <protection hidden="1"/>
    </xf>
    <xf numFmtId="0" fontId="7" fillId="5" borderId="23" xfId="0" applyFont="1" applyFill="1" applyBorder="1" applyAlignment="1" applyProtection="1">
      <alignment horizontal="center" vertical="center" wrapText="1"/>
      <protection hidden="1"/>
    </xf>
    <xf numFmtId="0" fontId="7" fillId="5" borderId="24" xfId="0" applyFont="1" applyFill="1" applyBorder="1" applyAlignment="1" applyProtection="1">
      <alignment horizontal="center" vertical="center" wrapText="1"/>
      <protection hidden="1"/>
    </xf>
    <xf numFmtId="0" fontId="7" fillId="5" borderId="25" xfId="0" applyFont="1" applyFill="1" applyBorder="1" applyAlignment="1" applyProtection="1">
      <alignment horizontal="center" vertical="center" wrapText="1"/>
      <protection hidden="1"/>
    </xf>
    <xf numFmtId="0" fontId="1" fillId="7" borderId="8" xfId="0" applyFont="1" applyFill="1" applyBorder="1" applyAlignment="1" applyProtection="1">
      <alignment horizontal="left" vertical="top" wrapText="1"/>
      <protection locked="0"/>
    </xf>
    <xf numFmtId="0" fontId="25" fillId="3" borderId="2" xfId="0" applyFont="1" applyFill="1" applyBorder="1" applyAlignment="1" applyProtection="1">
      <alignment horizontal="center" vertical="center"/>
      <protection hidden="1"/>
    </xf>
    <xf numFmtId="0" fontId="25" fillId="3" borderId="0" xfId="0" applyFont="1" applyFill="1" applyAlignment="1" applyProtection="1">
      <alignment horizontal="center" vertical="center"/>
      <protection hidden="1"/>
    </xf>
    <xf numFmtId="0" fontId="26" fillId="3" borderId="0" xfId="0" applyFont="1" applyFill="1" applyAlignment="1" applyProtection="1">
      <alignment horizontal="center" vertical="center"/>
      <protection hidden="1"/>
    </xf>
    <xf numFmtId="0" fontId="1" fillId="6" borderId="8" xfId="0" applyFont="1" applyFill="1" applyBorder="1" applyAlignment="1" applyProtection="1">
      <alignment horizontal="left"/>
      <protection locked="0"/>
    </xf>
    <xf numFmtId="0" fontId="0" fillId="6" borderId="10" xfId="0" applyFill="1" applyBorder="1" applyAlignment="1" applyProtection="1">
      <alignment horizontal="left"/>
      <protection locked="0"/>
    </xf>
    <xf numFmtId="0" fontId="0" fillId="6" borderId="9" xfId="0" applyFill="1" applyBorder="1" applyAlignment="1" applyProtection="1">
      <alignment horizontal="left"/>
      <protection locked="0"/>
    </xf>
    <xf numFmtId="0" fontId="2" fillId="4" borderId="15" xfId="0" applyFont="1" applyFill="1" applyBorder="1" applyAlignment="1" applyProtection="1">
      <alignment horizontal="center"/>
      <protection locked="0"/>
    </xf>
    <xf numFmtId="0" fontId="2" fillId="4" borderId="16" xfId="0" applyFont="1" applyFill="1" applyBorder="1" applyAlignment="1" applyProtection="1">
      <alignment horizontal="center"/>
      <protection locked="0"/>
    </xf>
    <xf numFmtId="0" fontId="21" fillId="5" borderId="3" xfId="0" applyFont="1" applyFill="1" applyBorder="1" applyAlignment="1" applyProtection="1">
      <alignment horizontal="left"/>
      <protection hidden="1"/>
    </xf>
    <xf numFmtId="0" fontId="21" fillId="5" borderId="0" xfId="0" applyFont="1" applyFill="1" applyAlignment="1" applyProtection="1">
      <alignment horizontal="left"/>
      <protection hidden="1"/>
    </xf>
    <xf numFmtId="0" fontId="21" fillId="5" borderId="0" xfId="0" applyFont="1" applyFill="1" applyAlignment="1" applyProtection="1">
      <alignment horizontal="right"/>
      <protection hidden="1"/>
    </xf>
    <xf numFmtId="0" fontId="7" fillId="5" borderId="15" xfId="0" applyFont="1" applyFill="1" applyBorder="1" applyAlignment="1" applyProtection="1">
      <alignment horizontal="left"/>
      <protection hidden="1"/>
    </xf>
    <xf numFmtId="0" fontId="7" fillId="5" borderId="16" xfId="0" applyFont="1" applyFill="1" applyBorder="1" applyAlignment="1" applyProtection="1">
      <alignment horizontal="left"/>
      <protection hidden="1"/>
    </xf>
    <xf numFmtId="0" fontId="6" fillId="7" borderId="15" xfId="0" applyFont="1" applyFill="1" applyBorder="1" applyAlignment="1" applyProtection="1">
      <alignment horizontal="center"/>
      <protection locked="0"/>
    </xf>
    <xf numFmtId="0" fontId="6" fillId="7" borderId="17" xfId="0" applyFont="1" applyFill="1" applyBorder="1" applyAlignment="1" applyProtection="1">
      <alignment horizontal="center"/>
      <protection locked="0"/>
    </xf>
    <xf numFmtId="49" fontId="1" fillId="6" borderId="11" xfId="0" applyNumberFormat="1" applyFont="1" applyFill="1" applyBorder="1" applyAlignment="1" applyProtection="1">
      <alignment horizontal="left"/>
      <protection locked="0"/>
    </xf>
    <xf numFmtId="49" fontId="0" fillId="6" borderId="12" xfId="0" applyNumberFormat="1" applyFill="1" applyBorder="1" applyAlignment="1" applyProtection="1">
      <alignment horizontal="left"/>
      <protection locked="0"/>
    </xf>
    <xf numFmtId="49" fontId="0" fillId="6" borderId="13" xfId="0" applyNumberFormat="1" applyFill="1" applyBorder="1" applyAlignment="1" applyProtection="1">
      <alignment horizontal="left"/>
      <protection locked="0"/>
    </xf>
    <xf numFmtId="0" fontId="2" fillId="5" borderId="14" xfId="0" applyFont="1" applyFill="1" applyBorder="1" applyAlignment="1" applyProtection="1">
      <alignment horizontal="left"/>
      <protection hidden="1"/>
    </xf>
  </cellXfs>
  <cellStyles count="4">
    <cellStyle name="Hyperlink" xfId="1" builtinId="8"/>
    <cellStyle name="Normal" xfId="0" builtinId="0"/>
    <cellStyle name="Normal_Sheet1" xfId="3" xr:uid="{30764519-13C2-45BD-9126-E6603CEFAEBD}"/>
    <cellStyle name="Normal_Sheet2" xfId="2" xr:uid="{00000000-0005-0000-0000-000002000000}"/>
  </cellStyles>
  <dxfs count="54">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border outline="0">
        <top style="thin">
          <color indexed="64"/>
        </top>
      </border>
    </dxf>
    <dxf>
      <fill>
        <patternFill patternType="none">
          <fgColor indexed="64"/>
          <bgColor indexed="65"/>
        </patternFill>
      </fill>
      <alignment horizontal="left" vertical="bottom" textRotation="0" wrapText="0" indent="0" justifyLastLine="0" shrinkToFit="0" readingOrder="0"/>
      <protection locked="1" hidden="1"/>
    </dxf>
    <dxf>
      <border outline="0">
        <bottom style="thin">
          <color indexed="64"/>
        </bottom>
      </border>
    </dxf>
    <dxf>
      <font>
        <b val="0"/>
        <i val="0"/>
        <strike val="0"/>
        <condense val="0"/>
        <extend val="0"/>
        <outline val="0"/>
        <shadow val="0"/>
        <u val="none"/>
        <vertAlign val="baseline"/>
        <sz val="9"/>
        <color indexed="8"/>
        <name val="Perpetua"/>
        <family val="1"/>
        <scheme val="none"/>
      </font>
      <fill>
        <patternFill patternType="solid">
          <fgColor indexed="64"/>
          <bgColor indexed="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indexed="8"/>
        <name val="Perpetua"/>
        <family val="1"/>
        <scheme val="none"/>
      </font>
      <fill>
        <patternFill patternType="solid">
          <fgColor indexed="64"/>
          <bgColor indexed="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indexed="8"/>
        <name val="Perpetua"/>
        <family val="1"/>
        <scheme val="none"/>
      </font>
      <fill>
        <patternFill patternType="solid">
          <fgColor indexed="64"/>
          <bgColor indexed="9"/>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none">
          <fgColor indexed="64"/>
          <bgColor indexed="65"/>
        </patternFill>
      </fill>
      <alignment horizontal="general"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indexed="8"/>
        <name val="Perpetua"/>
        <scheme val="none"/>
      </font>
      <fill>
        <patternFill patternType="none">
          <fgColor indexed="64"/>
          <bgColor indexed="65"/>
        </patternFill>
      </fill>
      <alignment horizontal="general" vertical="bottom" textRotation="0" wrapText="1" indent="0" justifyLastLine="0" shrinkToFit="0" readingOrder="0"/>
      <protection locked="1" hidden="0"/>
    </dxf>
    <dxf>
      <border outline="0">
        <bottom style="thin">
          <color indexed="64"/>
        </bottom>
      </border>
    </dxf>
    <dxf>
      <font>
        <b/>
        <i val="0"/>
        <strike val="0"/>
        <condense val="0"/>
        <extend val="0"/>
        <outline val="0"/>
        <shadow val="0"/>
        <u val="none"/>
        <vertAlign val="baseline"/>
        <sz val="10"/>
        <color indexed="8"/>
        <name val="Perpetua"/>
        <family val="1"/>
        <scheme val="none"/>
      </font>
      <fill>
        <patternFill patternType="solid">
          <fgColor indexed="64"/>
          <bgColor indexed="44"/>
        </patternFill>
      </fill>
      <alignment horizontal="general" vertical="top" textRotation="0" wrapText="0" indent="0" justifyLastLine="0" shrinkToFit="0" readingOrder="0"/>
      <border diagonalUp="0" diagonalDown="0">
        <left/>
        <right/>
        <top style="thin">
          <color indexed="64"/>
        </top>
        <bottom style="thin">
          <color indexed="64"/>
        </bottom>
        <vertical/>
        <horizontal/>
      </border>
      <protection locked="0" hidden="0"/>
    </dxf>
    <dxf>
      <font>
        <b/>
        <i val="0"/>
        <strike val="0"/>
        <condense val="0"/>
        <extend val="0"/>
        <outline val="0"/>
        <shadow val="0"/>
        <u val="none"/>
        <vertAlign val="baseline"/>
        <sz val="10"/>
        <color indexed="8"/>
        <name val="Perpetua"/>
        <family val="1"/>
        <scheme val="none"/>
      </font>
      <fill>
        <patternFill patternType="solid">
          <fgColor indexed="64"/>
          <bgColor indexed="44"/>
        </patternFill>
      </fill>
      <alignment horizontal="general"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indexed="8"/>
        <name val="Perpetua"/>
        <family val="1"/>
        <scheme val="none"/>
      </font>
      <fill>
        <patternFill patternType="solid">
          <fgColor indexed="64"/>
          <bgColor indexed="44"/>
        </patternFill>
      </fill>
      <alignment horizontal="general"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indexed="8"/>
        <name val="Perpetua"/>
        <family val="1"/>
        <scheme val="none"/>
      </font>
      <fill>
        <patternFill patternType="solid">
          <fgColor indexed="64"/>
          <bgColor indexed="44"/>
        </patternFill>
      </fill>
      <alignment horizontal="general"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right style="thin">
          <color indexed="64"/>
        </right>
        <top style="thin">
          <color indexed="64"/>
        </top>
        <bottom style="thin">
          <color indexed="64"/>
        </bottom>
      </border>
    </dxf>
    <dxf>
      <font>
        <b/>
        <i val="0"/>
        <strike val="0"/>
        <condense val="0"/>
        <extend val="0"/>
        <outline val="0"/>
        <shadow val="0"/>
        <u val="none"/>
        <vertAlign val="baseline"/>
        <sz val="10"/>
        <color indexed="8"/>
        <name val="Perpetua"/>
        <scheme val="none"/>
      </font>
      <fill>
        <patternFill patternType="solid">
          <fgColor indexed="64"/>
          <bgColor indexed="44"/>
        </patternFill>
      </fill>
      <alignment horizontal="general" vertical="top"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0"/>
        <color indexed="8"/>
        <name val="Perpetua"/>
        <scheme val="none"/>
      </font>
      <alignment horizontal="general" vertical="top" textRotation="0" wrapText="0" indent="0" justifyLastLine="0" shrinkToFit="0" readingOrder="0"/>
      <protection locked="0" hidden="0"/>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ill>
        <patternFill patternType="none">
          <fgColor indexed="64"/>
          <bgColor indexed="65"/>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1"/>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bottom/>
      </border>
      <protection locked="1" hidden="1"/>
    </dxf>
    <dxf>
      <fill>
        <patternFill patternType="solid">
          <fgColor indexed="64"/>
          <bgColor indexed="44"/>
        </patternFill>
      </fill>
      <border diagonalUp="0" diagonalDown="0">
        <left style="thin">
          <color indexed="64"/>
        </left>
        <right/>
        <top style="thin">
          <color indexed="64"/>
        </top>
        <bottom style="thin">
          <color indexed="64"/>
        </bottom>
        <vertical/>
        <horizontal/>
      </border>
      <protection locked="0" hidden="0"/>
    </dxf>
    <dxf>
      <fill>
        <patternFill patternType="solid">
          <fgColor indexed="64"/>
          <bgColor indexed="44"/>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indexed="44"/>
        </patternFill>
      </fill>
      <border diagonalUp="0" diagonalDown="0">
        <left/>
        <right style="thin">
          <color indexed="64"/>
        </right>
        <top style="thin">
          <color indexed="64"/>
        </top>
        <bottom style="thin">
          <color indexed="64"/>
        </bottom>
        <vertical/>
        <horizontal/>
      </border>
      <protection locked="0" hidden="0"/>
    </dxf>
    <dxf>
      <border outline="0">
        <bottom style="thin">
          <color indexed="64"/>
        </bottom>
      </border>
    </dxf>
    <dxf>
      <border outline="0">
        <bottom style="thin">
          <color indexed="64"/>
        </bottom>
      </border>
    </dxf>
    <dxf>
      <fill>
        <patternFill patternType="solid">
          <fgColor indexed="64"/>
          <bgColor indexed="9"/>
        </patternFill>
      </fill>
      <border diagonalUp="0" diagonalDown="0">
        <left style="thin">
          <color indexed="64"/>
        </left>
        <right/>
        <top style="thin">
          <color indexed="64"/>
        </top>
        <bottom/>
        <vertical/>
        <horizontal/>
      </border>
    </dxf>
    <dxf>
      <fill>
        <patternFill patternType="solid">
          <fgColor indexed="64"/>
          <bgColor indexed="9"/>
        </patternFill>
      </fill>
      <border diagonalUp="0" diagonalDown="0">
        <left style="thin">
          <color indexed="64"/>
        </left>
        <right style="thin">
          <color indexed="64"/>
        </right>
        <top style="thin">
          <color indexed="64"/>
        </top>
        <bottom/>
        <vertical/>
        <horizontal/>
      </border>
    </dxf>
    <dxf>
      <fill>
        <patternFill patternType="solid">
          <fgColor indexed="64"/>
          <bgColor indexed="9"/>
        </patternFill>
      </fill>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outline="0">
        <top style="thin">
          <color indexed="64"/>
        </top>
      </border>
    </dxf>
    <dxf>
      <border outline="0">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D$5" noThreeD="1"/>
</file>

<file path=xl/ctrlProps/ctrlProp2.xml><?xml version="1.0" encoding="utf-8"?>
<formControlPr xmlns="http://schemas.microsoft.com/office/spreadsheetml/2009/9/main" objectType="CheckBox" checked="Checked" fmlaLink="#REF!"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3</xdr:row>
          <xdr:rowOff>161925</xdr:rowOff>
        </xdr:from>
        <xdr:to>
          <xdr:col>1</xdr:col>
          <xdr:colOff>1343025</xdr:colOff>
          <xdr:row>4</xdr:row>
          <xdr:rowOff>200025</xdr:rowOff>
        </xdr:to>
        <xdr:sp macro="" textlink="">
          <xdr:nvSpPr>
            <xdr:cNvPr id="1433" name="Check Box 409" hidden="1">
              <a:extLst>
                <a:ext uri="{63B3BB69-23CF-44E3-9099-C40C66FF867C}">
                  <a14:compatExt spid="_x0000_s1433"/>
                </a:ext>
                <a:ext uri="{FF2B5EF4-FFF2-40B4-BE49-F238E27FC236}">
                  <a16:creationId xmlns:a16="http://schemas.microsoft.com/office/drawing/2014/main" id="{00000000-0008-0000-0200-00009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xdr:twoCellAnchor editAs="oneCell">
    <xdr:from>
      <xdr:col>0</xdr:col>
      <xdr:colOff>62902</xdr:colOff>
      <xdr:row>0</xdr:row>
      <xdr:rowOff>72966</xdr:rowOff>
    </xdr:from>
    <xdr:to>
      <xdr:col>2</xdr:col>
      <xdr:colOff>1706314</xdr:colOff>
      <xdr:row>2</xdr:row>
      <xdr:rowOff>310133</xdr:rowOff>
    </xdr:to>
    <xdr:pic>
      <xdr:nvPicPr>
        <xdr:cNvPr id="4" name="Picture 3" descr="Description: Description: C:\Documents and Settings\Julien.IOTC\Desktop\IOTCLogoCMYKLetterHead2.png">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45799" r="28398" b="44173"/>
        <a:stretch>
          <a:fillRect/>
        </a:stretch>
      </xdr:blipFill>
      <xdr:spPr bwMode="auto">
        <a:xfrm>
          <a:off x="62902" y="72966"/>
          <a:ext cx="4930715" cy="618167"/>
        </a:xfrm>
        <a:prstGeom prst="rect">
          <a:avLst/>
        </a:prstGeom>
        <a:solidFill>
          <a:schemeClr val="bg1"/>
        </a:solid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0</xdr:rowOff>
    </xdr:from>
    <xdr:to>
      <xdr:col>3</xdr:col>
      <xdr:colOff>0</xdr:colOff>
      <xdr:row>0</xdr:row>
      <xdr:rowOff>0</xdr:rowOff>
    </xdr:to>
    <xdr:pic>
      <xdr:nvPicPr>
        <xdr:cNvPr id="4185" name="Picture 9">
          <a:extLst>
            <a:ext uri="{FF2B5EF4-FFF2-40B4-BE49-F238E27FC236}">
              <a16:creationId xmlns:a16="http://schemas.microsoft.com/office/drawing/2014/main" id="{00000000-0008-0000-0400-000059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0"/>
          <a:ext cx="57721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38100</xdr:colOff>
          <xdr:row>0</xdr:row>
          <xdr:rowOff>0</xdr:rowOff>
        </xdr:from>
        <xdr:to>
          <xdr:col>10</xdr:col>
          <xdr:colOff>542925</xdr:colOff>
          <xdr:row>0</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PRELIMINARY</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otcs09 IOTCStatistics V_REP_NC_AREAS" connectionId="4" xr16:uid="{00000000-0016-0000-0400-000000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IOTCS09 IOTCStatistics V_REP_FLAGS" connectionId="3" xr16:uid="{00000000-0016-0000-0600-000001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IOTCS09 IOTCStatistics V_REP_NC_FATES" connectionId="7" xr16:uid="{00000000-0016-0000-0700-000002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iotcs09 IOTCStatistics V_REP_SPECIES_1" connectionId="8" xr16:uid="{00000000-0016-0000-0800-000003000000}" autoFormatId="16" applyNumberFormats="0" applyBorderFormats="0" applyFontFormats="0" applyPatternFormats="0" applyAlignmentFormats="0" applyWidthHeightFormats="0">
  <queryTableRefresh nextId="7">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iotcs09 IOTCStatistics V_REP_FISHERIES" connectionId="2" xr16:uid="{00000000-0016-0000-0900-000004000000}" autoFormatId="16" applyNumberFormats="0" applyBorderFormats="0" applyFontFormats="0" applyPatternFormats="0" applyAlignmentFormats="0" applyWidthHeightFormats="0">
  <queryTableRefresh nextId="6">
    <queryTableFields count="4">
      <queryTableField id="1" name="CODE" tableColumnId="1"/>
      <queryTableField id="2" name="NAME_EN" tableColumnId="2"/>
      <queryTableField id="3" name="NAME_FR" tableColumnId="3"/>
      <queryTableField id="4" name="FISHERY_TYPE"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IOTCS09 IOTCStatistics V_REP_NC_DATA_SOURCES" connectionId="5" xr16:uid="{00000000-0016-0000-0A00-000005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IOTCS09 IOTCStatistics V_REP_NC_ESTIMATION_PROCEDURES" connectionId="6" xr16:uid="{00000000-0016-0000-0B00-000006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IOTCS09 IOTCStatistics V_REP_COVERAGE" connectionId="1" xr16:uid="{00000000-0016-0000-0C00-000007000000}"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iotcs09 IOTCStatistics V_REP_SPECIES" connectionId="9" xr16:uid="{00000000-0016-0000-0D00-000008000000}" autoFormatId="16" applyNumberFormats="0" applyBorderFormats="0" applyFontFormats="0" applyPatternFormats="0" applyAlignmentFormats="0" applyWidthHeightFormats="0">
  <queryTableRefresh nextId="7">
    <queryTableFields count="4">
      <queryTableField id="1" name="CODE" tableColumnId="1"/>
      <queryTableField id="2" name="NAME_EN" tableColumnId="2"/>
      <queryTableField id="3" name="NAME_FR" tableColumnId="3"/>
      <queryTableField id="4" name="SCIENTIFIC_NAME"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iotcs09_IOTCStatistics_V_REP_NC_AREAS" displayName="Table_iotcs09_IOTCStatistics_V_REP_NC_AREAS" ref="A1:C3" tableType="queryTable" totalsRowShown="0" headerRowBorderDxfId="53" tableBorderDxfId="52">
  <autoFilter ref="A1:C3" xr:uid="{00000000-0009-0000-0100-000002000000}"/>
  <tableColumns count="3">
    <tableColumn id="1" xr3:uid="{00000000-0010-0000-0000-000001000000}" uniqueName="1" name="CODE" queryTableFieldId="1"/>
    <tableColumn id="2" xr3:uid="{00000000-0010-0000-0000-000002000000}" uniqueName="2" name="NAME_EN" queryTableFieldId="2"/>
    <tableColumn id="3" xr3:uid="{00000000-0010-0000-0000-000003000000}" uniqueName="3" name="NAME_FR" queryTableField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BE0966-437F-49F7-BBF8-7D0DE2749719}" name="Table11" displayName="Table11" ref="A1:C2" totalsRowShown="0" headerRowBorderDxfId="51" tableBorderDxfId="50" totalsRowBorderDxfId="49">
  <autoFilter ref="A1:C2" xr:uid="{40BE0966-437F-49F7-BBF8-7D0DE2749719}"/>
  <tableColumns count="3">
    <tableColumn id="1" xr3:uid="{C6A0E290-B95D-4F79-B993-8787719D7B90}" name="CODE" dataDxfId="48" dataCellStyle="Normal_Sheet2"/>
    <tableColumn id="2" xr3:uid="{16FCCF7F-09DE-4E4B-AE5E-7D0AF5433100}" name="NAME_EN" dataDxfId="47" dataCellStyle="Normal_Sheet2"/>
    <tableColumn id="3" xr3:uid="{854345C2-79BC-41D4-86F8-A0427DD43841}" name="NAME_FR" dataDxfId="46" dataCellStyle="Normal_Sheet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Table_IOTCS09_IOTCStatistics_V_REP_FLAGS" displayName="Table_IOTCS09_IOTCStatistics_V_REP_FLAGS" ref="A1:C77" tableType="queryTable" totalsRowShown="0" headerRowBorderDxfId="45" tableBorderDxfId="44">
  <autoFilter ref="A1:C77" xr:uid="{4A1298FC-A2A5-4F06-A050-13D7D68D468C}"/>
  <tableColumns count="3">
    <tableColumn id="1" xr3:uid="{00000000-0010-0000-0100-000001000000}" uniqueName="1" name="CODE" queryTableFieldId="1" dataDxfId="43"/>
    <tableColumn id="2" xr3:uid="{00000000-0010-0000-0100-000002000000}" uniqueName="2" name="NAME_EN" queryTableFieldId="2" dataDxfId="42"/>
    <tableColumn id="3" xr3:uid="{00000000-0010-0000-0100-000003000000}" uniqueName="3" name="NAME_FR" queryTableFieldId="3" dataDxfId="4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able_IOTCS09_IOTCStatistics_V_REP_NC_FATES" displayName="Table_IOTCS09_IOTCStatistics_V_REP_NC_FATES" ref="A1:C6" tableType="queryTable" totalsRowShown="0">
  <autoFilter ref="A1:C6" xr:uid="{00000000-0009-0000-0100-000009000000}"/>
  <tableColumns count="3">
    <tableColumn id="1" xr3:uid="{00000000-0010-0000-0200-000001000000}" uniqueName="1" name="CODE" queryTableFieldId="1"/>
    <tableColumn id="2" xr3:uid="{00000000-0010-0000-0200-000002000000}" uniqueName="2" name="NAME_EN" queryTableFieldId="2"/>
    <tableColumn id="3" xr3:uid="{00000000-0010-0000-0200-000003000000}" uniqueName="3" name="NAME_F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_iotcs09_IOTCStatistics_V_REP_SPECIES_1" displayName="Table_iotcs09_IOTCStatistics_V_REP_SPECIES_1" ref="A1:D255" tableType="queryTable" totalsRowShown="0" headerRowDxfId="40" headerRowBorderDxfId="39" tableBorderDxfId="38">
  <autoFilter ref="A1:D255" xr:uid="{00000000-0009-0000-0100-000003000000}"/>
  <tableColumns count="4">
    <tableColumn id="1" xr3:uid="{00000000-0010-0000-0300-000001000000}" uniqueName="1" name="CODE" queryTableFieldId="1" dataDxfId="37"/>
    <tableColumn id="2" xr3:uid="{00000000-0010-0000-0300-000002000000}" uniqueName="2" name="NAME_EN" queryTableFieldId="2" dataDxfId="36"/>
    <tableColumn id="3" xr3:uid="{00000000-0010-0000-0300-000003000000}" uniqueName="3" name="NAME_FR" queryTableFieldId="3" dataDxfId="35"/>
    <tableColumn id="4" xr3:uid="{00000000-0010-0000-0300-000004000000}" uniqueName="4" name="SCIENTIFIC_NAME" queryTableFieldId="4" dataDxfId="3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_iotcs09_IOTCStatistics_V_REP_FISHERIES" displayName="Table_iotcs09_IOTCStatistics_V_REP_FISHERIES" ref="A1:D67" tableType="queryTable" totalsRowShown="0" headerRowDxfId="33" dataDxfId="31" headerRowBorderDxfId="32" tableBorderDxfId="30" totalsRowBorderDxfId="29">
  <autoFilter ref="A1:D67" xr:uid="{00000000-0009-0000-0100-000001000000}"/>
  <tableColumns count="4">
    <tableColumn id="1" xr3:uid="{00000000-0010-0000-0400-000001000000}" uniqueName="1" name="CODE" queryTableFieldId="1" dataDxfId="28"/>
    <tableColumn id="2" xr3:uid="{00000000-0010-0000-0400-000002000000}" uniqueName="2" name="NAME_EN" queryTableFieldId="2" dataDxfId="27"/>
    <tableColumn id="3" xr3:uid="{00000000-0010-0000-0400-000003000000}" uniqueName="3" name="NAME_FR" queryTableFieldId="3" dataDxfId="26"/>
    <tableColumn id="4" xr3:uid="{00000000-0010-0000-0400-000004000000}" uniqueName="4" name="FISHERY_TYPE" queryTableFieldId="4" dataDxfId="2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_IOTCS09_IOTCStatistics_V_REP_NC_DATA_SOURCES" displayName="Table_IOTCS09_IOTCStatistics_V_REP_NC_DATA_SOURCES" ref="A1:C6" tableType="queryTable" totalsRowShown="0" dataDxfId="23" headerRowBorderDxfId="24" tableBorderDxfId="22" totalsRowBorderDxfId="21">
  <autoFilter ref="A1:C6" xr:uid="{00000000-0009-0000-0100-000005000000}"/>
  <tableColumns count="3">
    <tableColumn id="1" xr3:uid="{00000000-0010-0000-0500-000001000000}" uniqueName="1" name="CODE" queryTableFieldId="1" dataDxfId="20"/>
    <tableColumn id="2" xr3:uid="{00000000-0010-0000-0500-000002000000}" uniqueName="2" name="NAME_EN" queryTableFieldId="2" dataDxfId="19"/>
    <tableColumn id="3" xr3:uid="{00000000-0010-0000-0500-000003000000}" uniqueName="3" name="NAME_FR" queryTableFieldId="3"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able_IOTCS09_IOTCStatistics_V_REP_NC_ESTIMATION_PROCEDURES" displayName="Table_IOTCS09_IOTCStatistics_V_REP_NC_ESTIMATION_PROCEDURES" ref="A1:C8" tableType="queryTable" totalsRowShown="0" headerRowDxfId="17" headerRowBorderDxfId="16" tableBorderDxfId="15">
  <autoFilter ref="A1:C8" xr:uid="{00000000-0009-0000-0100-000006000000}"/>
  <tableColumns count="3">
    <tableColumn id="1" xr3:uid="{00000000-0010-0000-0600-000001000000}" uniqueName="1" name="CODE" queryTableFieldId="1" dataDxfId="14"/>
    <tableColumn id="2" xr3:uid="{00000000-0010-0000-0600-000002000000}" uniqueName="2" name="NAME_EN" queryTableFieldId="2" dataDxfId="13"/>
    <tableColumn id="3" xr3:uid="{00000000-0010-0000-0600-000003000000}" uniqueName="3" name="NAME_FR" queryTableFieldId="3" dataDxfId="1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_IOTCS09_IOTCStatistics_V_REP_COVERAGE" displayName="Table_IOTCS09_IOTCStatistics_V_REP_COVERAGE" ref="A1:C27" tableType="queryTable" totalsRowShown="0" headerRowBorderDxfId="11" tableBorderDxfId="10">
  <autoFilter ref="A1:C27" xr:uid="{00000000-0009-0000-0100-000007000000}"/>
  <tableColumns count="3">
    <tableColumn id="1" xr3:uid="{00000000-0010-0000-0700-000001000000}" uniqueName="1" name="CODE" queryTableFieldId="1" dataDxfId="9"/>
    <tableColumn id="2" xr3:uid="{00000000-0010-0000-0700-000002000000}" uniqueName="2" name="NAME_EN" queryTableFieldId="2" dataDxfId="8"/>
    <tableColumn id="3" xr3:uid="{00000000-0010-0000-0700-000003000000}" uniqueName="3" name="NAME_FR" queryTableFieldId="3" dataDxfId="7"/>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8000000}" name="Table_iotcs09_IOTCStatistics_V_REP_SPECIES" displayName="Table_iotcs09_IOTCStatistics_V_REP_SPECIES" ref="A1:D255" tableType="queryTable" totalsRowShown="0" dataDxfId="5" headerRowBorderDxfId="6" tableBorderDxfId="4">
  <autoFilter ref="A1:D255" xr:uid="{00000000-0009-0000-0100-000004000000}"/>
  <tableColumns count="4">
    <tableColumn id="1" xr3:uid="{00000000-0010-0000-0800-000001000000}" uniqueName="1" name="CODE" queryTableFieldId="1" dataDxfId="3"/>
    <tableColumn id="2" xr3:uid="{00000000-0010-0000-0800-000002000000}" uniqueName="2" name="NAME_EN" queryTableFieldId="2" dataDxfId="2"/>
    <tableColumn id="3" xr3:uid="{00000000-0010-0000-0800-000003000000}" uniqueName="3" name="NAME_FR" queryTableFieldId="3" dataDxfId="1"/>
    <tableColumn id="4" xr3:uid="{00000000-0010-0000-0800-000004000000}" uniqueName="4" name="SCIENTIFIC_NAME" queryTableFieldId="4"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otc.org/Common/dataforms/Guidelines%20Data%20Reporting%20IOTC%5BF%5D.pdf" TargetMode="External"/><Relationship Id="rId2" Type="http://schemas.openxmlformats.org/officeDocument/2006/relationships/hyperlink" Target="http://www.iotc.org/Common/dataforms/Notes%20for%20the%20completion%20of%20IOTC%20Forms%5BE%5D.pdf" TargetMode="External"/><Relationship Id="rId1" Type="http://schemas.openxmlformats.org/officeDocument/2006/relationships/hyperlink" Target="http://www.iotc.org/Common/dataforms/Guidelines%20Data%20Reporting%20IOTC%5BE%5D.pdf" TargetMode="External"/><Relationship Id="rId5" Type="http://schemas.openxmlformats.org/officeDocument/2006/relationships/printerSettings" Target="../printerSettings/printerSettings1.bin"/><Relationship Id="rId4" Type="http://schemas.openxmlformats.org/officeDocument/2006/relationships/hyperlink" Target="http://www.iotc.org/Common/dataforms/Notes%20for%20the%20completion%20of%20IOTC%20Forms%5BF%5D.pdf"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249977111117893"/>
  </sheetPr>
  <dimension ref="A2:P38"/>
  <sheetViews>
    <sheetView topLeftCell="B1" workbookViewId="0">
      <selection activeCell="B17" sqref="B17"/>
    </sheetView>
  </sheetViews>
  <sheetFormatPr defaultColWidth="9.140625" defaultRowHeight="12.75" x14ac:dyDescent="0.2"/>
  <cols>
    <col min="1" max="1" width="3.5703125" style="3" customWidth="1"/>
    <col min="2" max="2" width="11.5703125" style="3" bestFit="1" customWidth="1"/>
    <col min="3" max="3" width="64.28515625" style="3" customWidth="1"/>
    <col min="4" max="5" width="3.5703125" style="3" customWidth="1"/>
    <col min="6" max="6" width="9.7109375" style="3" customWidth="1"/>
    <col min="7" max="7" width="83.28515625" style="3" customWidth="1"/>
    <col min="8" max="16384" width="9.140625" style="3"/>
  </cols>
  <sheetData>
    <row r="2" spans="1:7" ht="12.75" customHeight="1" x14ac:dyDescent="0.2">
      <c r="B2" s="123"/>
      <c r="C2" s="124" t="s">
        <v>390</v>
      </c>
      <c r="D2" s="35"/>
      <c r="E2" s="35"/>
      <c r="F2" s="123"/>
      <c r="G2" s="125" t="s">
        <v>391</v>
      </c>
    </row>
    <row r="3" spans="1:7" ht="12.75" customHeight="1" x14ac:dyDescent="0.2">
      <c r="A3" s="36"/>
      <c r="B3" s="123"/>
      <c r="C3" s="124"/>
      <c r="D3" s="35"/>
      <c r="E3" s="35"/>
      <c r="F3" s="123"/>
      <c r="G3" s="125"/>
    </row>
    <row r="4" spans="1:7" ht="12.75" customHeight="1" x14ac:dyDescent="0.2">
      <c r="A4" s="36"/>
      <c r="B4" s="123"/>
      <c r="C4" s="124"/>
      <c r="D4" s="35"/>
      <c r="E4" s="35"/>
      <c r="F4" s="123"/>
      <c r="G4" s="125"/>
    </row>
    <row r="5" spans="1:7" ht="18.75" customHeight="1" x14ac:dyDescent="0.2">
      <c r="A5" s="13"/>
    </row>
    <row r="6" spans="1:7" x14ac:dyDescent="0.2">
      <c r="B6" s="11" t="s">
        <v>369</v>
      </c>
      <c r="C6" s="32" t="s">
        <v>363</v>
      </c>
      <c r="D6" s="30"/>
      <c r="E6" s="30"/>
      <c r="F6" s="11" t="s">
        <v>368</v>
      </c>
      <c r="G6" s="32" t="s">
        <v>364</v>
      </c>
    </row>
    <row r="7" spans="1:7" x14ac:dyDescent="0.2">
      <c r="B7" s="12" t="s">
        <v>362</v>
      </c>
      <c r="C7" s="33" t="s">
        <v>370</v>
      </c>
      <c r="D7" s="31"/>
      <c r="E7" s="31"/>
      <c r="F7" s="12" t="s">
        <v>362</v>
      </c>
      <c r="G7" s="33" t="s">
        <v>380</v>
      </c>
    </row>
    <row r="8" spans="1:7" ht="15.75" x14ac:dyDescent="0.25">
      <c r="B8" s="12" t="s">
        <v>354</v>
      </c>
      <c r="C8" s="33" t="s">
        <v>371</v>
      </c>
      <c r="D8" s="31"/>
      <c r="E8" s="31"/>
      <c r="F8" s="12" t="s">
        <v>354</v>
      </c>
      <c r="G8" s="34" t="s">
        <v>381</v>
      </c>
    </row>
    <row r="9" spans="1:7" x14ac:dyDescent="0.2">
      <c r="B9" s="12" t="s">
        <v>355</v>
      </c>
      <c r="C9" s="33" t="s">
        <v>372</v>
      </c>
      <c r="D9" s="31"/>
      <c r="E9" s="31"/>
      <c r="F9" s="12" t="s">
        <v>355</v>
      </c>
      <c r="G9" s="33" t="s">
        <v>382</v>
      </c>
    </row>
    <row r="10" spans="1:7" x14ac:dyDescent="0.2">
      <c r="B10" s="12" t="s">
        <v>356</v>
      </c>
      <c r="C10" s="33" t="s">
        <v>373</v>
      </c>
      <c r="D10" s="31"/>
      <c r="E10" s="31"/>
      <c r="F10" s="12" t="s">
        <v>356</v>
      </c>
      <c r="G10" s="33" t="s">
        <v>383</v>
      </c>
    </row>
    <row r="11" spans="1:7" x14ac:dyDescent="0.2">
      <c r="B11" s="12" t="s">
        <v>357</v>
      </c>
      <c r="C11" s="33" t="s">
        <v>374</v>
      </c>
      <c r="D11" s="31"/>
      <c r="E11" s="31"/>
      <c r="F11" s="12" t="s">
        <v>357</v>
      </c>
      <c r="G11" s="33" t="s">
        <v>384</v>
      </c>
    </row>
    <row r="12" spans="1:7" x14ac:dyDescent="0.2">
      <c r="B12" s="12" t="s">
        <v>358</v>
      </c>
      <c r="C12" s="33" t="s">
        <v>375</v>
      </c>
      <c r="D12" s="31"/>
      <c r="E12" s="31"/>
      <c r="F12" s="12" t="s">
        <v>358</v>
      </c>
      <c r="G12" s="33" t="s">
        <v>385</v>
      </c>
    </row>
    <row r="13" spans="1:7" x14ac:dyDescent="0.2">
      <c r="B13" s="12" t="s">
        <v>359</v>
      </c>
      <c r="C13" s="33" t="s">
        <v>376</v>
      </c>
      <c r="D13" s="31"/>
      <c r="E13" s="31"/>
      <c r="F13" s="12" t="s">
        <v>359</v>
      </c>
      <c r="G13" s="33" t="s">
        <v>386</v>
      </c>
    </row>
    <row r="14" spans="1:7" x14ac:dyDescent="0.2">
      <c r="B14" s="12" t="s">
        <v>360</v>
      </c>
      <c r="C14" s="33" t="s">
        <v>377</v>
      </c>
      <c r="D14" s="31"/>
      <c r="E14" s="31"/>
      <c r="F14" s="12" t="s">
        <v>360</v>
      </c>
      <c r="G14" s="33" t="s">
        <v>387</v>
      </c>
    </row>
    <row r="15" spans="1:7" x14ac:dyDescent="0.2">
      <c r="B15" s="12" t="s">
        <v>144</v>
      </c>
      <c r="C15" s="33" t="s">
        <v>378</v>
      </c>
      <c r="D15" s="31"/>
      <c r="E15" s="31"/>
      <c r="F15" s="12" t="s">
        <v>144</v>
      </c>
      <c r="G15" s="33" t="s">
        <v>388</v>
      </c>
    </row>
    <row r="16" spans="1:7" x14ac:dyDescent="0.2">
      <c r="B16" s="12" t="s">
        <v>361</v>
      </c>
      <c r="C16" s="33" t="s">
        <v>379</v>
      </c>
      <c r="D16" s="31"/>
      <c r="E16" s="31"/>
      <c r="F16" s="12" t="s">
        <v>361</v>
      </c>
      <c r="G16" s="33" t="s">
        <v>389</v>
      </c>
    </row>
    <row r="17" spans="1:16" x14ac:dyDescent="0.2">
      <c r="B17" s="12" t="s">
        <v>1216</v>
      </c>
      <c r="C17" s="33" t="s">
        <v>1223</v>
      </c>
      <c r="D17" s="31"/>
      <c r="E17" s="31"/>
      <c r="F17" s="12" t="s">
        <v>1216</v>
      </c>
      <c r="G17" s="33" t="s">
        <v>1224</v>
      </c>
    </row>
    <row r="20" spans="1:16" ht="12.75" customHeight="1" x14ac:dyDescent="0.2">
      <c r="B20" s="126" t="s">
        <v>392</v>
      </c>
      <c r="C20" s="126"/>
      <c r="D20" s="38"/>
      <c r="E20" s="38"/>
      <c r="F20" s="38"/>
      <c r="G20" s="126" t="s">
        <v>393</v>
      </c>
      <c r="H20" s="122"/>
      <c r="I20" s="122"/>
      <c r="J20" s="122"/>
      <c r="K20" s="122"/>
      <c r="L20" s="122"/>
      <c r="M20" s="122"/>
      <c r="N20" s="122"/>
      <c r="O20" s="122"/>
      <c r="P20" s="122"/>
    </row>
    <row r="21" spans="1:16" x14ac:dyDescent="0.2">
      <c r="A21" s="39"/>
      <c r="B21" s="126"/>
      <c r="C21" s="126"/>
      <c r="D21" s="38"/>
      <c r="E21" s="38"/>
      <c r="F21" s="38"/>
      <c r="G21" s="126"/>
      <c r="H21" s="122"/>
      <c r="I21" s="122"/>
      <c r="J21" s="122"/>
      <c r="K21" s="122"/>
      <c r="L21" s="122"/>
      <c r="M21" s="122"/>
      <c r="N21" s="122"/>
      <c r="O21" s="122"/>
      <c r="P21" s="122"/>
    </row>
    <row r="22" spans="1:16" x14ac:dyDescent="0.2">
      <c r="A22" s="39"/>
      <c r="B22" s="126"/>
      <c r="C22" s="126"/>
      <c r="D22" s="38"/>
      <c r="E22" s="38"/>
      <c r="F22" s="38"/>
      <c r="G22" s="126"/>
      <c r="H22" s="122"/>
      <c r="I22" s="122"/>
      <c r="J22" s="122"/>
      <c r="K22" s="122"/>
      <c r="L22" s="122"/>
      <c r="M22" s="122"/>
      <c r="N22" s="122"/>
      <c r="O22" s="122"/>
      <c r="P22" s="122"/>
    </row>
    <row r="23" spans="1:16" x14ac:dyDescent="0.2">
      <c r="A23" s="37"/>
      <c r="B23" s="126"/>
      <c r="C23" s="126"/>
      <c r="D23" s="38"/>
      <c r="E23" s="38"/>
      <c r="F23" s="38"/>
      <c r="G23" s="126"/>
      <c r="H23" s="122"/>
      <c r="I23" s="122"/>
      <c r="J23" s="122"/>
      <c r="K23" s="122"/>
      <c r="L23" s="122"/>
      <c r="M23" s="122"/>
      <c r="N23" s="122"/>
      <c r="O23" s="122"/>
      <c r="P23" s="122"/>
    </row>
    <row r="24" spans="1:16" x14ac:dyDescent="0.2">
      <c r="A24" s="37"/>
      <c r="B24" s="37"/>
      <c r="C24" s="39"/>
      <c r="D24" s="39"/>
      <c r="E24" s="39"/>
      <c r="F24" s="37"/>
      <c r="G24" s="37"/>
      <c r="H24" s="37"/>
      <c r="I24" s="37"/>
      <c r="J24" s="37"/>
      <c r="K24" s="37"/>
      <c r="L24" s="37"/>
      <c r="M24" s="37"/>
    </row>
    <row r="25" spans="1:16" x14ac:dyDescent="0.2">
      <c r="A25" s="37"/>
      <c r="B25" s="37"/>
      <c r="C25" s="37"/>
      <c r="D25" s="37"/>
      <c r="E25" s="37"/>
      <c r="F25" s="37"/>
      <c r="G25" s="37"/>
      <c r="H25" s="37"/>
      <c r="I25" s="37"/>
      <c r="J25" s="37"/>
      <c r="K25" s="37"/>
      <c r="L25" s="37"/>
      <c r="M25" s="37"/>
    </row>
    <row r="26" spans="1:16" ht="12.75" customHeight="1" x14ac:dyDescent="0.2">
      <c r="A26" s="37"/>
      <c r="B26" s="126" t="s">
        <v>394</v>
      </c>
      <c r="C26" s="126"/>
      <c r="D26" s="29"/>
      <c r="E26" s="29"/>
      <c r="F26" s="29"/>
      <c r="G26" s="126" t="s">
        <v>395</v>
      </c>
      <c r="H26" s="122"/>
      <c r="I26" s="122"/>
      <c r="J26" s="122"/>
      <c r="K26" s="122"/>
      <c r="L26" s="122"/>
      <c r="M26" s="122"/>
      <c r="N26" s="122"/>
      <c r="O26" s="122"/>
      <c r="P26" s="122"/>
    </row>
    <row r="27" spans="1:16" ht="12.75" customHeight="1" x14ac:dyDescent="0.2">
      <c r="A27" s="39"/>
      <c r="B27" s="126"/>
      <c r="C27" s="126"/>
      <c r="D27" s="29"/>
      <c r="E27" s="29"/>
      <c r="F27" s="29"/>
      <c r="G27" s="126"/>
      <c r="H27" s="122"/>
      <c r="I27" s="122"/>
      <c r="J27" s="122"/>
      <c r="K27" s="122"/>
      <c r="L27" s="122"/>
      <c r="M27" s="122"/>
      <c r="N27" s="122"/>
      <c r="O27" s="122"/>
      <c r="P27" s="122"/>
    </row>
    <row r="28" spans="1:16" x14ac:dyDescent="0.2">
      <c r="A28" s="39"/>
      <c r="B28" s="39"/>
      <c r="C28" s="39"/>
      <c r="D28" s="39"/>
      <c r="E28" s="39"/>
      <c r="F28" s="39"/>
      <c r="G28" s="39"/>
      <c r="H28" s="39"/>
      <c r="I28" s="39"/>
      <c r="J28" s="39"/>
      <c r="K28" s="39"/>
      <c r="L28" s="39"/>
      <c r="M28" s="39"/>
    </row>
    <row r="29" spans="1:16" x14ac:dyDescent="0.2">
      <c r="A29" s="37"/>
      <c r="B29" s="37"/>
      <c r="C29" s="37"/>
      <c r="D29" s="37"/>
      <c r="E29" s="37"/>
      <c r="F29" s="37"/>
      <c r="G29" s="37"/>
      <c r="H29" s="37"/>
      <c r="I29" s="37"/>
      <c r="J29" s="37"/>
      <c r="K29" s="37"/>
      <c r="L29" s="37"/>
      <c r="M29" s="37"/>
    </row>
    <row r="30" spans="1:16" ht="12.75" customHeight="1" x14ac:dyDescent="0.2">
      <c r="B30" s="129" t="s">
        <v>396</v>
      </c>
      <c r="C30" s="129"/>
      <c r="D30" s="40"/>
      <c r="E30" s="40"/>
      <c r="F30" s="40"/>
      <c r="G30" s="130" t="s">
        <v>397</v>
      </c>
      <c r="H30" s="39"/>
      <c r="I30" s="39"/>
      <c r="J30" s="39"/>
      <c r="K30" s="39"/>
      <c r="L30" s="39"/>
      <c r="M30" s="39"/>
    </row>
    <row r="31" spans="1:16" x14ac:dyDescent="0.2">
      <c r="A31" s="39"/>
      <c r="B31" s="129"/>
      <c r="C31" s="129"/>
      <c r="D31" s="40"/>
      <c r="E31" s="40"/>
      <c r="F31" s="40"/>
      <c r="G31" s="130"/>
      <c r="H31" s="39"/>
      <c r="I31" s="39"/>
      <c r="J31" s="39"/>
      <c r="K31" s="39"/>
      <c r="L31" s="39"/>
      <c r="M31" s="39"/>
    </row>
    <row r="32" spans="1:16" x14ac:dyDescent="0.2">
      <c r="A32" s="39"/>
      <c r="B32" s="40"/>
      <c r="C32" s="40"/>
      <c r="D32" s="40"/>
      <c r="E32" s="40"/>
      <c r="F32" s="40"/>
      <c r="G32" s="41"/>
      <c r="H32" s="39"/>
      <c r="I32" s="39"/>
      <c r="J32" s="39"/>
      <c r="K32" s="39"/>
      <c r="L32" s="39"/>
      <c r="M32" s="39"/>
    </row>
    <row r="33" spans="1:13" ht="12.75" customHeight="1" x14ac:dyDescent="0.2">
      <c r="A33" s="42"/>
      <c r="B33" s="127" t="s">
        <v>413</v>
      </c>
      <c r="C33" s="128"/>
      <c r="D33" s="38"/>
      <c r="E33" s="38"/>
      <c r="F33" s="38"/>
      <c r="G33" s="127" t="s">
        <v>415</v>
      </c>
      <c r="H33" s="39"/>
      <c r="I33" s="39"/>
      <c r="J33" s="39"/>
      <c r="K33" s="39"/>
      <c r="L33" s="39"/>
      <c r="M33" s="39"/>
    </row>
    <row r="34" spans="1:13" x14ac:dyDescent="0.2">
      <c r="A34" s="43"/>
      <c r="B34" s="128"/>
      <c r="C34" s="128"/>
      <c r="D34" s="38"/>
      <c r="E34" s="38"/>
      <c r="F34" s="38"/>
      <c r="G34" s="128"/>
      <c r="H34" s="39"/>
      <c r="I34" s="39"/>
      <c r="J34" s="39"/>
      <c r="K34" s="39"/>
      <c r="L34" s="39"/>
      <c r="M34" s="39"/>
    </row>
    <row r="35" spans="1:13" x14ac:dyDescent="0.2">
      <c r="A35" s="44"/>
      <c r="B35" s="128"/>
      <c r="C35" s="128"/>
      <c r="D35" s="38"/>
      <c r="E35" s="38"/>
      <c r="F35" s="38"/>
      <c r="G35" s="128"/>
      <c r="H35" s="39"/>
      <c r="I35" s="39"/>
      <c r="J35" s="39"/>
      <c r="K35" s="39"/>
      <c r="L35" s="39"/>
      <c r="M35" s="39"/>
    </row>
    <row r="36" spans="1:13" x14ac:dyDescent="0.2">
      <c r="A36" s="44"/>
      <c r="B36" s="38"/>
      <c r="C36" s="38"/>
      <c r="D36" s="38"/>
      <c r="E36" s="38"/>
      <c r="F36" s="38"/>
      <c r="G36" s="38"/>
      <c r="H36" s="39"/>
      <c r="I36" s="39"/>
      <c r="J36" s="39"/>
      <c r="K36" s="39"/>
      <c r="L36" s="39"/>
      <c r="M36" s="39"/>
    </row>
    <row r="37" spans="1:13" ht="12.75" customHeight="1" x14ac:dyDescent="0.2">
      <c r="A37" s="44"/>
      <c r="B37" s="127" t="s">
        <v>412</v>
      </c>
      <c r="C37" s="128"/>
      <c r="D37" s="45"/>
      <c r="E37" s="45"/>
      <c r="F37" s="45"/>
      <c r="G37" s="127" t="s">
        <v>414</v>
      </c>
      <c r="H37" s="39"/>
      <c r="I37" s="39"/>
      <c r="J37" s="39"/>
      <c r="K37" s="39"/>
      <c r="L37" s="39"/>
      <c r="M37" s="39"/>
    </row>
    <row r="38" spans="1:13" ht="12.75" customHeight="1" x14ac:dyDescent="0.2">
      <c r="A38" s="42"/>
      <c r="B38" s="128"/>
      <c r="C38" s="128"/>
      <c r="D38" s="46"/>
      <c r="E38" s="46"/>
      <c r="F38" s="46"/>
      <c r="G38" s="128"/>
      <c r="H38" s="39"/>
      <c r="I38" s="39"/>
      <c r="J38" s="39"/>
      <c r="K38" s="39"/>
      <c r="L38" s="39"/>
      <c r="M38" s="39"/>
    </row>
  </sheetData>
  <sheetProtection algorithmName="SHA-512" hashValue="KMZl6tuYl+OAEnEp1QBGrf8zNbhM8y4amE+0/1XEVfI57YvEH9Gbm/mkbRWQ5jldcP7zgDnZ5+w+brbMRZEOhw==" saltValue="D3+Bz0QMBwfQnTu7PfmMNw==" spinCount="100000" sheet="1" objects="1" scenarios="1"/>
  <mergeCells count="32">
    <mergeCell ref="B37:C38"/>
    <mergeCell ref="G37:G38"/>
    <mergeCell ref="P20:P23"/>
    <mergeCell ref="B26:C27"/>
    <mergeCell ref="G26:G27"/>
    <mergeCell ref="H26:H27"/>
    <mergeCell ref="I26:I27"/>
    <mergeCell ref="J26:J27"/>
    <mergeCell ref="K26:K27"/>
    <mergeCell ref="L26:L27"/>
    <mergeCell ref="O26:O27"/>
    <mergeCell ref="P26:P27"/>
    <mergeCell ref="B30:C31"/>
    <mergeCell ref="G30:G31"/>
    <mergeCell ref="B33:C35"/>
    <mergeCell ref="G33:G35"/>
    <mergeCell ref="O20:O23"/>
    <mergeCell ref="B20:C23"/>
    <mergeCell ref="G20:G23"/>
    <mergeCell ref="I20:I23"/>
    <mergeCell ref="J20:J23"/>
    <mergeCell ref="K20:K23"/>
    <mergeCell ref="L20:L23"/>
    <mergeCell ref="M20:M23"/>
    <mergeCell ref="M26:M27"/>
    <mergeCell ref="N26:N27"/>
    <mergeCell ref="B2:B4"/>
    <mergeCell ref="C2:C4"/>
    <mergeCell ref="F2:F4"/>
    <mergeCell ref="G2:G4"/>
    <mergeCell ref="H20:H23"/>
    <mergeCell ref="N20:N23"/>
  </mergeCells>
  <phoneticPr fontId="4" type="noConversion"/>
  <hyperlinks>
    <hyperlink ref="B15" location="ARE!A1" display="ARE" xr:uid="{00000000-0004-0000-0000-000000000000}"/>
    <hyperlink ref="B16" location="CUN!A1" display="CUN" xr:uid="{00000000-0004-0000-0000-000001000000}"/>
    <hyperlink ref="B14" location="SPC!A1" display="SPC" xr:uid="{00000000-0004-0000-0000-000002000000}"/>
    <hyperlink ref="B12" location="FLG!A1" display="FLG" xr:uid="{00000000-0004-0000-0000-000003000000}"/>
    <hyperlink ref="B13" location="FIS!A1" display="FIS" xr:uid="{00000000-0004-0000-0000-000004000000}"/>
    <hyperlink ref="B11" location="COV!A1" display="COV" xr:uid="{00000000-0004-0000-0000-000005000000}"/>
    <hyperlink ref="B10" location="DPR!A1" display="DPR" xr:uid="{00000000-0004-0000-0000-000006000000}"/>
    <hyperlink ref="B9" location="DSO!A1" display="DSO" xr:uid="{00000000-0004-0000-0000-000007000000}"/>
    <hyperlink ref="B8" location="TSPC!A1" display="TSPC" xr:uid="{00000000-0004-0000-0000-000008000000}"/>
    <hyperlink ref="B7" location="NC!A1" display="NC" xr:uid="{00000000-0004-0000-0000-000009000000}"/>
    <hyperlink ref="F15" location="ARE!A1" display="ARE" xr:uid="{00000000-0004-0000-0000-00000A000000}"/>
    <hyperlink ref="F16" location="CUN!A1" display="CUN" xr:uid="{00000000-0004-0000-0000-00000B000000}"/>
    <hyperlink ref="F14" location="SPC!A1" display="SPC" xr:uid="{00000000-0004-0000-0000-00000C000000}"/>
    <hyperlink ref="F12" location="FLG!A1" display="FLG" xr:uid="{00000000-0004-0000-0000-00000D000000}"/>
    <hyperlink ref="F13" location="FIS!A1" display="FIS" xr:uid="{00000000-0004-0000-0000-00000E000000}"/>
    <hyperlink ref="F11" location="COV!A1" display="COV" xr:uid="{00000000-0004-0000-0000-00000F000000}"/>
    <hyperlink ref="F10" location="DPR!A1" display="DPR" xr:uid="{00000000-0004-0000-0000-000010000000}"/>
    <hyperlink ref="F9" location="DSO!A1" display="DSO" xr:uid="{00000000-0004-0000-0000-000011000000}"/>
    <hyperlink ref="F8" location="TSPC!A1" display="TSPC" xr:uid="{00000000-0004-0000-0000-000012000000}"/>
    <hyperlink ref="F7" location="NC!A1" display="NC" xr:uid="{00000000-0004-0000-0000-000013000000}"/>
    <hyperlink ref="B37:C38" r:id="rId1" display=" -Refer to the document &quot;GUIDELINES FOR THE REPORTING OF FISHERIES STATISTICS TO THE IOTC&quot; for more information about IOTC data requirements." xr:uid="{00000000-0004-0000-0000-000014000000}"/>
    <hyperlink ref="B33:C35" r:id="rId2" display=" -Refer to the document &quot;GENERAL NOTES ON THE USE OF IOTC FORMS&quot; if this is the first time that you use IOTC Forms. This document is intended to guide you through when using the IOTC Excel Forms." xr:uid="{00000000-0004-0000-0000-000015000000}"/>
    <hyperlink ref="G37:G38" r:id="rId3" display=" -Veuillez vous référer au document « DIRECTIVES POUR LA DECLARATION DES STATISTIQUES DES PECHES A LA CTOI » pour plus d’informations sur les données exigibles." xr:uid="{00000000-0004-0000-0000-000016000000}"/>
    <hyperlink ref="G33:G35" r:id="rId4" display=" -Veuillez vous référer au document « REMARQUES GENERALES SUR L’UTILISATION DES FORMULAIRES CTOI » si c’est la première fois que vous utilisez les formulaires CTOI. Ce document vous guidera lors de l’utilisation des formulaires Excel de la CTOI." xr:uid="{00000000-0004-0000-0000-000017000000}"/>
    <hyperlink ref="B17" location="REA!A1" display="REA" xr:uid="{00000000-0004-0000-0000-000018000000}"/>
    <hyperlink ref="F17" location="REA!A1" display="REA" xr:uid="{00000000-0004-0000-0000-000019000000}"/>
  </hyperlinks>
  <pageMargins left="0.75" right="0.75" top="1" bottom="1" header="0.5" footer="0.5"/>
  <pageSetup paperSize="9" orientation="portrait" horizontalDpi="1200" verticalDpi="1200" r:id="rId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FF0000"/>
  </sheetPr>
  <dimension ref="B1:K31"/>
  <sheetViews>
    <sheetView zoomScaleNormal="100" workbookViewId="0">
      <selection activeCell="C27" sqref="C27"/>
    </sheetView>
  </sheetViews>
  <sheetFormatPr defaultRowHeight="12.75" x14ac:dyDescent="0.2"/>
  <cols>
    <col min="2" max="2" width="33.140625" bestFit="1" customWidth="1"/>
    <col min="3" max="3" width="67.5703125" bestFit="1" customWidth="1"/>
  </cols>
  <sheetData>
    <row r="1" spans="2:5" x14ac:dyDescent="0.2">
      <c r="B1" s="50" t="s">
        <v>6</v>
      </c>
      <c r="C1" s="50" t="s">
        <v>327</v>
      </c>
      <c r="D1" s="50" t="str">
        <f>UPPER(C1)</f>
        <v>NOM</v>
      </c>
      <c r="E1" s="50"/>
    </row>
    <row r="2" spans="2:5" x14ac:dyDescent="0.2">
      <c r="B2" s="50" t="s">
        <v>8</v>
      </c>
      <c r="C2" s="50" t="s">
        <v>8</v>
      </c>
      <c r="D2" s="50" t="str">
        <f t="shared" ref="D2:D27" si="0">UPPER(C2)</f>
        <v>E-MAIL</v>
      </c>
      <c r="E2" s="50"/>
    </row>
    <row r="3" spans="2:5" x14ac:dyDescent="0.2">
      <c r="B3" s="50" t="s">
        <v>9</v>
      </c>
      <c r="C3" s="50" t="s">
        <v>328</v>
      </c>
      <c r="D3" s="50" t="str">
        <f t="shared" si="0"/>
        <v>NO. TELEPHONE</v>
      </c>
      <c r="E3" s="50"/>
    </row>
    <row r="4" spans="2:5" x14ac:dyDescent="0.2">
      <c r="B4" s="50" t="s">
        <v>5</v>
      </c>
      <c r="C4" s="50" t="s">
        <v>399</v>
      </c>
      <c r="D4" s="50" t="str">
        <f t="shared" si="0"/>
        <v>PAYS DECLARANT</v>
      </c>
      <c r="E4" s="50"/>
    </row>
    <row r="5" spans="2:5" x14ac:dyDescent="0.2">
      <c r="B5" s="50" t="s">
        <v>7</v>
      </c>
      <c r="C5" s="50" t="s">
        <v>400</v>
      </c>
      <c r="D5" s="50" t="str">
        <f t="shared" si="0"/>
        <v>PAVILLON D’ORIGINE</v>
      </c>
      <c r="E5" s="50"/>
    </row>
    <row r="6" spans="2:5" x14ac:dyDescent="0.2">
      <c r="B6" s="50" t="s">
        <v>11</v>
      </c>
      <c r="C6" s="50" t="s">
        <v>401</v>
      </c>
      <c r="D6" s="50" t="str">
        <f t="shared" si="0"/>
        <v>ANNÉE</v>
      </c>
      <c r="E6" s="50"/>
    </row>
    <row r="7" spans="2:5" x14ac:dyDescent="0.2">
      <c r="B7" s="50" t="s">
        <v>12</v>
      </c>
      <c r="C7" s="50" t="s">
        <v>402</v>
      </c>
      <c r="D7" s="50" t="str">
        <f t="shared" si="0"/>
        <v>UNITÉ DE CAPTURE</v>
      </c>
      <c r="E7" s="50"/>
    </row>
    <row r="8" spans="2:5" x14ac:dyDescent="0.2">
      <c r="B8" s="50" t="s">
        <v>19</v>
      </c>
      <c r="C8" s="50" t="s">
        <v>403</v>
      </c>
      <c r="D8" s="50" t="str">
        <f t="shared" si="0"/>
        <v>COMMENTAIRES</v>
      </c>
      <c r="E8" s="50"/>
    </row>
    <row r="9" spans="2:5" x14ac:dyDescent="0.2">
      <c r="B9" s="50" t="s">
        <v>13</v>
      </c>
      <c r="C9" s="50" t="s">
        <v>404</v>
      </c>
      <c r="D9" s="50" t="str">
        <f t="shared" si="0"/>
        <v>PÊCHERIE</v>
      </c>
      <c r="E9" s="50"/>
    </row>
    <row r="10" spans="2:5" x14ac:dyDescent="0.2">
      <c r="B10" s="50" t="s">
        <v>14</v>
      </c>
      <c r="C10" s="50" t="s">
        <v>332</v>
      </c>
      <c r="D10" s="50" t="str">
        <f t="shared" si="0"/>
        <v>ZONE CTOI</v>
      </c>
      <c r="E10" s="50"/>
    </row>
    <row r="11" spans="2:5" x14ac:dyDescent="0.2">
      <c r="B11" s="50" t="s">
        <v>410</v>
      </c>
      <c r="C11" s="50" t="s">
        <v>411</v>
      </c>
      <c r="D11" s="50" t="str">
        <f t="shared" si="0"/>
        <v>TYPE DE DONNEES (FIN: FINALE; PRE: PRELIMINAIRE)</v>
      </c>
      <c r="E11" s="50"/>
    </row>
    <row r="12" spans="2:5" x14ac:dyDescent="0.2">
      <c r="B12" s="50" t="s">
        <v>15</v>
      </c>
      <c r="C12" s="50" t="s">
        <v>333</v>
      </c>
      <c r="D12" s="50" t="str">
        <f t="shared" si="0"/>
        <v>SOURCE DES DONNEES</v>
      </c>
      <c r="E12" s="50"/>
    </row>
    <row r="13" spans="2:5" x14ac:dyDescent="0.2">
      <c r="B13" s="50" t="s">
        <v>16</v>
      </c>
      <c r="C13" s="50" t="s">
        <v>405</v>
      </c>
      <c r="D13" s="50" t="str">
        <f t="shared" si="0"/>
        <v>TRAITEMENT DE L'INFORMATION</v>
      </c>
      <c r="E13" s="50"/>
    </row>
    <row r="14" spans="2:5" x14ac:dyDescent="0.2">
      <c r="B14" s="50" t="s">
        <v>17</v>
      </c>
      <c r="C14" s="50" t="s">
        <v>406</v>
      </c>
      <c r="D14" s="50" t="str">
        <f t="shared" si="0"/>
        <v>ESPÈCE CIBLE</v>
      </c>
      <c r="E14" s="50"/>
    </row>
    <row r="15" spans="2:5" x14ac:dyDescent="0.2">
      <c r="B15" s="50" t="s">
        <v>18</v>
      </c>
      <c r="C15" s="50" t="s">
        <v>407</v>
      </c>
      <c r="D15" s="50" t="str">
        <f t="shared" si="0"/>
        <v>COUVERTURE</v>
      </c>
      <c r="E15" s="50"/>
    </row>
    <row r="16" spans="2:5" x14ac:dyDescent="0.2">
      <c r="B16" s="50" t="s">
        <v>323</v>
      </c>
      <c r="C16" s="50" t="s">
        <v>408</v>
      </c>
      <c r="D16" s="50" t="str">
        <f t="shared" si="0"/>
        <v>ESPÈCE</v>
      </c>
      <c r="E16" s="50"/>
    </row>
    <row r="17" spans="2:11" x14ac:dyDescent="0.2">
      <c r="B17" s="50" t="s">
        <v>338</v>
      </c>
      <c r="C17" s="50" t="s">
        <v>338</v>
      </c>
      <c r="D17" s="50" t="str">
        <f t="shared" si="0"/>
        <v>CONTACT</v>
      </c>
      <c r="E17" s="50"/>
    </row>
    <row r="18" spans="2:11" x14ac:dyDescent="0.2">
      <c r="B18" s="50" t="s">
        <v>10</v>
      </c>
      <c r="C18" s="50" t="s">
        <v>10</v>
      </c>
      <c r="D18" s="50" t="str">
        <f t="shared" si="0"/>
        <v>ORGANISATION</v>
      </c>
      <c r="E18" s="50"/>
    </row>
    <row r="19" spans="2:11" x14ac:dyDescent="0.2">
      <c r="B19" s="50" t="s">
        <v>339</v>
      </c>
      <c r="C19" s="50" t="s">
        <v>340</v>
      </c>
      <c r="D19" s="50" t="str">
        <f t="shared" si="0"/>
        <v>STATISTIQUES THONIÈRES DANS L’OCÉAN INDIEN</v>
      </c>
      <c r="E19" s="50"/>
    </row>
    <row r="20" spans="2:11" x14ac:dyDescent="0.2">
      <c r="B20" s="50" t="s">
        <v>348</v>
      </c>
      <c r="C20" s="50" t="s">
        <v>347</v>
      </c>
      <c r="D20" s="50" t="str">
        <f t="shared" si="0"/>
        <v>FORMULAIRE CTOI 1: CAPTURES NOMINALES</v>
      </c>
      <c r="E20" s="50"/>
    </row>
    <row r="21" spans="2:11" x14ac:dyDescent="0.2">
      <c r="B21" s="50" t="s">
        <v>341</v>
      </c>
      <c r="C21" s="50" t="s">
        <v>342</v>
      </c>
      <c r="D21" s="50" t="str">
        <f t="shared" si="0"/>
        <v>(FLOTTILLES FOURNISSANT DES CAHIERS DE PÊCHE)</v>
      </c>
      <c r="E21" s="50"/>
    </row>
    <row r="22" spans="2:11" x14ac:dyDescent="0.2">
      <c r="B22" s="50" t="s">
        <v>343</v>
      </c>
      <c r="C22" s="50" t="s">
        <v>398</v>
      </c>
      <c r="D22" s="50" t="str">
        <f t="shared" si="0"/>
        <v>AFFICHER LES LISTES EN</v>
      </c>
      <c r="E22" s="50"/>
    </row>
    <row r="23" spans="2:11" x14ac:dyDescent="0.2">
      <c r="B23" s="50" t="s">
        <v>344</v>
      </c>
      <c r="C23" s="50" t="s">
        <v>345</v>
      </c>
      <c r="D23" s="50" t="str">
        <f t="shared" si="0"/>
        <v>SOUMISSION</v>
      </c>
      <c r="E23" s="50"/>
    </row>
    <row r="24" spans="2:11" x14ac:dyDescent="0.2">
      <c r="B24" s="50" t="s">
        <v>346</v>
      </c>
      <c r="C24" s="50" t="s">
        <v>409</v>
      </c>
      <c r="D24" s="50" t="str">
        <f t="shared" si="0"/>
        <v>INFORMATION GÉNÉRALES</v>
      </c>
      <c r="E24" s="50"/>
    </row>
    <row r="25" spans="2:11" x14ac:dyDescent="0.2">
      <c r="B25" s="50" t="s">
        <v>366</v>
      </c>
      <c r="C25" s="50" t="s">
        <v>367</v>
      </c>
      <c r="D25" s="50" t="str">
        <f t="shared" si="0"/>
        <v>SIL VOUS PLAIT, CONFIRMER LE NIVEAU DE PRÉCISON POUR LES DONNÉES DANS FORME NC</v>
      </c>
      <c r="E25" s="50"/>
    </row>
    <row r="26" spans="2:11" x14ac:dyDescent="0.2">
      <c r="B26" s="50" t="s">
        <v>1264</v>
      </c>
      <c r="C26" s="50" t="s">
        <v>1265</v>
      </c>
      <c r="D26" s="50" t="str">
        <f t="shared" si="0"/>
        <v>TRIMESTRES</v>
      </c>
      <c r="E26" s="50"/>
    </row>
    <row r="27" spans="2:11" x14ac:dyDescent="0.2">
      <c r="B27" s="50" t="s">
        <v>1218</v>
      </c>
      <c r="C27" s="50" t="s">
        <v>1217</v>
      </c>
      <c r="D27" s="50" t="str">
        <f t="shared" si="0"/>
        <v>RAISON RETENU</v>
      </c>
      <c r="E27" s="50"/>
    </row>
    <row r="31" spans="2:11" x14ac:dyDescent="0.2">
      <c r="K31" s="10"/>
    </row>
  </sheetData>
  <sheetProtection algorithmName="SHA-512" hashValue="PoR2mC5zza/TwpwnwDn59I5bqPYEr2iG4XdjT5EOg6iUFY+SA6DyHchmXpWsUZgJL6skRjlxRpxoFx58h8kvaA==" saltValue="FPq6TazP9APzU/gwqd4h6g==" spinCount="100000" sheet="1" objects="1" scenario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pageSetUpPr fitToPage="1"/>
  </sheetPr>
  <dimension ref="A1:EB212"/>
  <sheetViews>
    <sheetView tabSelected="1" zoomScale="80" zoomScaleNormal="80" zoomScaleSheetLayoutView="75" workbookViewId="0">
      <selection activeCell="B10" sqref="B10:E10"/>
    </sheetView>
  </sheetViews>
  <sheetFormatPr defaultColWidth="7.7109375" defaultRowHeight="12.75" x14ac:dyDescent="0.2"/>
  <cols>
    <col min="1" max="1" width="18.42578125" style="3" customWidth="1"/>
    <col min="2" max="4" width="30.7109375" style="3" customWidth="1"/>
    <col min="5" max="6" width="50.7109375" style="3" customWidth="1"/>
    <col min="7" max="9" width="30.7109375" style="3" customWidth="1"/>
    <col min="10" max="39" width="15.7109375" style="3" customWidth="1"/>
    <col min="40" max="132" width="15.5703125" style="3" customWidth="1"/>
    <col min="133" max="16384" width="7.7109375" style="3"/>
  </cols>
  <sheetData>
    <row r="1" spans="1:38" ht="15" customHeight="1" x14ac:dyDescent="0.2">
      <c r="A1" s="1"/>
      <c r="B1" s="2"/>
      <c r="C1" s="2"/>
      <c r="D1" s="2"/>
      <c r="E1" s="2"/>
      <c r="F1" s="158" t="str">
        <f ca="1">OFFSET(IF($D$5=TRUE,FORM!C19,FORM!B19),,)</f>
        <v>Tuna Statistics in the Indian Ocean</v>
      </c>
      <c r="G1" s="158"/>
      <c r="H1" s="100"/>
      <c r="I1" s="100"/>
      <c r="J1" s="100"/>
      <c r="K1" s="100"/>
      <c r="L1" s="100"/>
      <c r="M1" s="100"/>
      <c r="N1" s="100"/>
      <c r="O1" s="2"/>
      <c r="P1" s="2"/>
      <c r="Q1" s="2"/>
      <c r="R1" s="2"/>
      <c r="S1" s="2"/>
      <c r="T1" s="2"/>
      <c r="U1" s="2"/>
      <c r="V1" s="2"/>
      <c r="W1" s="2"/>
      <c r="X1" s="2"/>
      <c r="Y1" s="2"/>
      <c r="Z1" s="2"/>
      <c r="AA1" s="2"/>
      <c r="AB1" s="2"/>
      <c r="AC1" s="2"/>
      <c r="AD1" s="2"/>
      <c r="AE1" s="2"/>
      <c r="AF1" s="2"/>
      <c r="AG1" s="2"/>
      <c r="AH1" s="2"/>
      <c r="AI1" s="2"/>
      <c r="AJ1" s="101"/>
      <c r="AK1" s="102"/>
      <c r="AL1" s="14"/>
    </row>
    <row r="2" spans="1:38" ht="15" customHeight="1" x14ac:dyDescent="0.2">
      <c r="A2" s="4"/>
      <c r="B2" s="5"/>
      <c r="C2" s="5"/>
      <c r="D2" s="5"/>
      <c r="E2" s="5"/>
      <c r="F2" s="159"/>
      <c r="G2" s="159"/>
      <c r="H2" s="91"/>
      <c r="I2" s="91"/>
      <c r="J2" s="91"/>
      <c r="K2" s="91"/>
      <c r="L2" s="91"/>
      <c r="M2" s="91"/>
      <c r="N2" s="91"/>
      <c r="O2" s="5"/>
      <c r="P2" s="5"/>
      <c r="Q2" s="5"/>
      <c r="R2" s="5"/>
      <c r="S2" s="5"/>
      <c r="T2" s="5"/>
      <c r="U2" s="5"/>
      <c r="V2" s="5"/>
      <c r="W2" s="5"/>
      <c r="X2" s="5"/>
      <c r="Y2" s="5"/>
      <c r="Z2" s="5"/>
      <c r="AA2" s="5"/>
      <c r="AB2" s="5"/>
      <c r="AC2" s="5"/>
      <c r="AD2" s="5"/>
      <c r="AE2" s="5"/>
      <c r="AF2" s="5"/>
      <c r="AG2" s="5"/>
      <c r="AH2" s="5"/>
      <c r="AI2" s="5"/>
      <c r="AJ2" s="16"/>
      <c r="AK2" s="103"/>
      <c r="AL2" s="14"/>
    </row>
    <row r="3" spans="1:38" ht="26.45" customHeight="1" x14ac:dyDescent="0.35">
      <c r="A3" s="4"/>
      <c r="B3" s="5"/>
      <c r="C3" s="5"/>
      <c r="D3" s="5"/>
      <c r="E3" s="5"/>
      <c r="F3" s="160" t="str">
        <f ca="1">OFFSET(IF($D$5=TRUE,FORM!C20,FORM!B20),,)</f>
        <v>IOTC FORM 1: NOMINAL CATCH</v>
      </c>
      <c r="G3" s="160"/>
      <c r="H3" s="92"/>
      <c r="I3" s="92"/>
      <c r="J3" s="92"/>
      <c r="K3" s="92"/>
      <c r="L3" s="92"/>
      <c r="M3" s="92"/>
      <c r="N3" s="92"/>
      <c r="O3" s="5"/>
      <c r="P3" s="5"/>
      <c r="Q3" s="5"/>
      <c r="R3" s="5"/>
      <c r="S3" s="5"/>
      <c r="T3" s="5"/>
      <c r="U3" s="5"/>
      <c r="V3" s="5"/>
      <c r="W3" s="5"/>
      <c r="X3" s="5"/>
      <c r="Y3" s="5"/>
      <c r="Z3" s="5"/>
      <c r="AA3" s="5"/>
      <c r="AB3" s="5"/>
      <c r="AC3" s="5"/>
      <c r="AD3" s="5"/>
      <c r="AE3" s="5"/>
      <c r="AF3" s="5"/>
      <c r="AG3" s="5"/>
      <c r="AH3" s="5"/>
      <c r="AI3" s="5"/>
      <c r="AJ3" s="16"/>
      <c r="AK3" s="103"/>
      <c r="AL3" s="14"/>
    </row>
    <row r="4" spans="1:38" ht="15" customHeight="1" thickBot="1" x14ac:dyDescent="0.25">
      <c r="A4" s="4"/>
      <c r="B4" s="5"/>
      <c r="C4" s="5"/>
      <c r="D4" s="5"/>
      <c r="E4" s="5"/>
      <c r="F4" s="5"/>
      <c r="G4" s="5"/>
      <c r="H4" s="5"/>
      <c r="I4" s="5"/>
      <c r="J4" s="5"/>
      <c r="K4" s="5"/>
      <c r="L4" s="5"/>
      <c r="M4" s="5"/>
      <c r="N4" s="5"/>
      <c r="O4" s="5"/>
      <c r="P4" s="5"/>
      <c r="Q4" s="5"/>
      <c r="R4" s="5"/>
      <c r="S4" s="5"/>
      <c r="T4" s="5"/>
      <c r="U4" s="5"/>
      <c r="V4" s="5"/>
      <c r="W4" s="5"/>
      <c r="X4" s="5"/>
      <c r="Y4" s="5"/>
      <c r="Z4" s="16"/>
      <c r="AA4" s="16"/>
      <c r="AB4" s="16"/>
      <c r="AC4" s="16"/>
      <c r="AD4" s="16"/>
      <c r="AE4" s="16"/>
      <c r="AF4" s="16"/>
      <c r="AG4" s="16"/>
      <c r="AH4" s="16"/>
      <c r="AI4" s="16"/>
      <c r="AJ4" s="16"/>
      <c r="AK4" s="103"/>
      <c r="AL4" s="14"/>
    </row>
    <row r="5" spans="1:38" ht="16.5" thickBot="1" x14ac:dyDescent="0.3">
      <c r="A5" s="164" t="s">
        <v>324</v>
      </c>
      <c r="B5" s="165"/>
      <c r="C5" s="165"/>
      <c r="D5" s="21" t="b">
        <v>0</v>
      </c>
      <c r="E5" s="8"/>
      <c r="F5" s="5"/>
      <c r="G5" s="5"/>
      <c r="H5" s="5"/>
      <c r="I5" s="5"/>
      <c r="J5" s="5"/>
      <c r="K5" s="5"/>
      <c r="L5" s="5"/>
      <c r="M5" s="5"/>
      <c r="N5" s="5"/>
      <c r="O5" s="5"/>
      <c r="P5" s="5"/>
      <c r="Q5" s="5"/>
      <c r="R5" s="5"/>
      <c r="S5" s="16"/>
      <c r="T5" s="16"/>
      <c r="U5" s="16"/>
      <c r="V5" s="16"/>
      <c r="W5" s="16"/>
      <c r="X5" s="16"/>
      <c r="Y5" s="16"/>
      <c r="Z5" s="16"/>
      <c r="AA5" s="16"/>
      <c r="AB5" s="16"/>
      <c r="AC5" s="16"/>
      <c r="AD5" s="16"/>
      <c r="AE5" s="16"/>
      <c r="AF5" s="16"/>
      <c r="AG5" s="16"/>
      <c r="AH5" s="16"/>
      <c r="AI5" s="16"/>
      <c r="AJ5" s="16"/>
      <c r="AK5" s="103"/>
      <c r="AL5" s="14"/>
    </row>
    <row r="6" spans="1:38" ht="13.5" thickBot="1" x14ac:dyDescent="0.25">
      <c r="A6" s="169" t="str">
        <f ca="1">OFFSET(IF($D$5=TRUE,FORM!C22,FORM!B22),,)</f>
        <v>DISPLAY LISTS IN</v>
      </c>
      <c r="B6" s="170"/>
      <c r="C6" s="171" t="s">
        <v>318</v>
      </c>
      <c r="D6" s="172"/>
      <c r="E6" s="5"/>
      <c r="F6" s="5"/>
      <c r="G6" s="5"/>
      <c r="H6" s="5"/>
      <c r="I6" s="5"/>
      <c r="J6" s="5"/>
      <c r="K6" s="5"/>
      <c r="L6" s="5"/>
      <c r="M6" s="5"/>
      <c r="N6" s="5"/>
      <c r="O6" s="5"/>
      <c r="P6" s="5"/>
      <c r="Q6" s="5"/>
      <c r="R6" s="5"/>
      <c r="S6" s="16"/>
      <c r="T6" s="16"/>
      <c r="U6" s="16"/>
      <c r="V6" s="16"/>
      <c r="W6" s="16"/>
      <c r="X6" s="16"/>
      <c r="Y6" s="16"/>
      <c r="Z6" s="16"/>
      <c r="AA6" s="16"/>
      <c r="AB6" s="16"/>
      <c r="AC6" s="16"/>
      <c r="AD6" s="16"/>
      <c r="AE6" s="16"/>
      <c r="AF6" s="16"/>
      <c r="AG6" s="16"/>
      <c r="AH6" s="16"/>
      <c r="AI6" s="16"/>
      <c r="AJ6" s="16"/>
      <c r="AK6" s="103"/>
      <c r="AL6" s="14"/>
    </row>
    <row r="7" spans="1:38" ht="7.5" customHeight="1" x14ac:dyDescent="0.2">
      <c r="A7" s="15"/>
      <c r="B7" s="16"/>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104"/>
    </row>
    <row r="8" spans="1:38" s="14" customFormat="1" ht="15" customHeight="1" x14ac:dyDescent="0.25">
      <c r="A8" s="166" t="s">
        <v>344</v>
      </c>
      <c r="B8" s="167"/>
      <c r="C8" s="22"/>
      <c r="D8" s="22"/>
      <c r="E8" s="22"/>
      <c r="F8" s="22"/>
      <c r="G8" s="22"/>
      <c r="H8" s="22"/>
      <c r="I8" s="22"/>
      <c r="J8" s="22"/>
      <c r="K8" s="22"/>
      <c r="L8" s="22"/>
      <c r="M8" s="22"/>
      <c r="N8" s="22"/>
      <c r="O8" s="22"/>
      <c r="P8" s="23"/>
      <c r="Q8" s="23"/>
      <c r="R8" s="23"/>
      <c r="S8" s="23"/>
      <c r="T8" s="23"/>
      <c r="U8" s="22"/>
      <c r="V8" s="22"/>
      <c r="W8" s="22"/>
      <c r="X8" s="22"/>
      <c r="Y8" s="22"/>
      <c r="Z8" s="22"/>
      <c r="AA8" s="22"/>
      <c r="AB8" s="22"/>
      <c r="AC8" s="22"/>
      <c r="AD8" s="22"/>
      <c r="AE8" s="22"/>
      <c r="AF8" s="22"/>
      <c r="AG8" s="22"/>
      <c r="AH8" s="22"/>
      <c r="AI8" s="22"/>
      <c r="AJ8" s="22"/>
      <c r="AK8" s="105"/>
    </row>
    <row r="9" spans="1:38" s="14" customFormat="1" ht="15" customHeight="1" x14ac:dyDescent="0.25">
      <c r="A9" s="93" t="str">
        <f ca="1">OFFSET(IF($D$5=TRUE,FORM!C17,FORM!B17),,)</f>
        <v>CONTACT</v>
      </c>
      <c r="B9" s="27"/>
      <c r="C9" s="22"/>
      <c r="D9" s="22"/>
      <c r="E9" s="22"/>
      <c r="F9" s="22"/>
      <c r="G9" s="22"/>
      <c r="H9" s="22"/>
      <c r="I9" s="22"/>
      <c r="J9" s="22"/>
      <c r="K9" s="22"/>
      <c r="L9" s="22"/>
      <c r="M9" s="22"/>
      <c r="N9" s="168" t="str">
        <f ca="1">OFFSET(IF($D$5=TRUE,FORM!C18,FORM!B18),,)</f>
        <v>ORGANISATION</v>
      </c>
      <c r="O9" s="168"/>
      <c r="P9" s="168"/>
      <c r="Q9" s="22"/>
      <c r="R9" s="22"/>
      <c r="S9" s="23"/>
      <c r="T9" s="23"/>
      <c r="U9" s="23"/>
      <c r="V9" s="23"/>
      <c r="W9" s="22"/>
      <c r="X9" s="22"/>
      <c r="Y9" s="22"/>
      <c r="Z9" s="22"/>
      <c r="AA9" s="22"/>
      <c r="AB9" s="22"/>
      <c r="AC9" s="22"/>
      <c r="AD9" s="22"/>
      <c r="AE9" s="22"/>
      <c r="AF9" s="22"/>
      <c r="AG9" s="22"/>
      <c r="AH9" s="22"/>
      <c r="AI9" s="22"/>
      <c r="AJ9" s="22"/>
      <c r="AK9" s="105"/>
    </row>
    <row r="10" spans="1:38" s="14" customFormat="1" ht="15" customHeight="1" x14ac:dyDescent="0.2">
      <c r="A10" s="80" t="str">
        <f ca="1">OFFSET(IF($D$5=TRUE,FORM!C1,FORM!B1),,)</f>
        <v>NAME</v>
      </c>
      <c r="B10" s="161"/>
      <c r="C10" s="162"/>
      <c r="D10" s="162"/>
      <c r="E10" s="163"/>
      <c r="F10" s="22"/>
      <c r="G10" s="22"/>
      <c r="H10" s="22"/>
      <c r="I10" s="22"/>
      <c r="J10" s="22"/>
      <c r="K10" s="22"/>
      <c r="L10" s="22"/>
      <c r="M10" s="22"/>
      <c r="N10" s="22"/>
      <c r="O10" s="143" t="str">
        <f ca="1">OFFSET(IF($D$5=TRUE,FORM!C1,FORM!B1),,)</f>
        <v>NAME</v>
      </c>
      <c r="P10" s="143"/>
      <c r="Q10" s="161"/>
      <c r="R10" s="162"/>
      <c r="S10" s="162"/>
      <c r="T10" s="162"/>
      <c r="U10" s="162"/>
      <c r="V10" s="162"/>
      <c r="W10" s="162"/>
      <c r="X10" s="162"/>
      <c r="Y10" s="162"/>
      <c r="Z10" s="162"/>
      <c r="AA10" s="162"/>
      <c r="AB10" s="162"/>
      <c r="AC10" s="162"/>
      <c r="AD10" s="162"/>
      <c r="AE10" s="162"/>
      <c r="AF10" s="163"/>
      <c r="AG10" s="22"/>
      <c r="AH10" s="22"/>
      <c r="AI10" s="22"/>
      <c r="AJ10" s="22"/>
      <c r="AK10" s="105"/>
    </row>
    <row r="11" spans="1:38" s="14" customFormat="1" ht="15" customHeight="1" x14ac:dyDescent="0.2">
      <c r="A11" s="80" t="str">
        <f ca="1">OFFSET(IF($D$5=TRUE,FORM!C2,FORM!B2),,)</f>
        <v>E-MAIL</v>
      </c>
      <c r="B11" s="161"/>
      <c r="C11" s="163"/>
      <c r="D11" s="24" t="str">
        <f ca="1">OFFSET(IF($D$5=TRUE,FORM!C3,FORM!B3),,)</f>
        <v>PHONE No.</v>
      </c>
      <c r="E11" s="90"/>
      <c r="F11" s="22"/>
      <c r="G11" s="22"/>
      <c r="H11" s="22"/>
      <c r="I11" s="22"/>
      <c r="J11" s="22"/>
      <c r="K11" s="22"/>
      <c r="L11" s="22"/>
      <c r="M11" s="22"/>
      <c r="N11" s="22"/>
      <c r="O11" s="143" t="str">
        <f ca="1">OFFSET(IF($D$5=TRUE,FORM!C2,FORM!B2),,)</f>
        <v>E-MAIL</v>
      </c>
      <c r="P11" s="144"/>
      <c r="Q11" s="161"/>
      <c r="R11" s="162"/>
      <c r="S11" s="162"/>
      <c r="T11" s="162"/>
      <c r="U11" s="162"/>
      <c r="V11" s="163"/>
      <c r="W11" s="176" t="str">
        <f ca="1">OFFSET(IF($D$5=TRUE,FORM!C3,FORM!B3),,)</f>
        <v>PHONE No.</v>
      </c>
      <c r="X11" s="143"/>
      <c r="Y11" s="143"/>
      <c r="Z11" s="173"/>
      <c r="AA11" s="174"/>
      <c r="AB11" s="174"/>
      <c r="AC11" s="174"/>
      <c r="AD11" s="174"/>
      <c r="AE11" s="174"/>
      <c r="AF11" s="175"/>
      <c r="AG11" s="22"/>
      <c r="AH11" s="22"/>
      <c r="AI11" s="22"/>
      <c r="AJ11" s="22"/>
      <c r="AK11" s="105"/>
    </row>
    <row r="12" spans="1:38" s="14" customFormat="1" ht="15" customHeight="1" x14ac:dyDescent="0.2">
      <c r="A12" s="83"/>
      <c r="B12" s="84"/>
      <c r="C12" s="84"/>
      <c r="D12" s="85"/>
      <c r="E12" s="86"/>
      <c r="F12" s="82"/>
      <c r="G12" s="82"/>
      <c r="H12" s="82"/>
      <c r="I12" s="82"/>
      <c r="J12" s="82"/>
      <c r="K12" s="82"/>
      <c r="L12" s="82"/>
      <c r="M12" s="82"/>
      <c r="N12" s="82"/>
      <c r="O12" s="87"/>
      <c r="P12" s="87"/>
      <c r="Q12" s="84"/>
      <c r="R12" s="84"/>
      <c r="S12" s="84"/>
      <c r="T12" s="84"/>
      <c r="U12" s="84"/>
      <c r="V12" s="84"/>
      <c r="W12" s="87"/>
      <c r="X12" s="87"/>
      <c r="Y12" s="87"/>
      <c r="Z12" s="88"/>
      <c r="AA12" s="89"/>
      <c r="AB12" s="89"/>
      <c r="AC12" s="89"/>
      <c r="AD12" s="89"/>
      <c r="AE12" s="89"/>
      <c r="AF12" s="89"/>
      <c r="AG12" s="82"/>
      <c r="AH12" s="82"/>
      <c r="AI12" s="82"/>
      <c r="AJ12" s="82"/>
      <c r="AK12" s="106"/>
    </row>
    <row r="13" spans="1:38" s="14" customFormat="1" ht="7.5" customHeight="1" x14ac:dyDescent="0.2">
      <c r="A13" s="15"/>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03"/>
    </row>
    <row r="14" spans="1:38" s="14" customFormat="1" ht="15" customHeight="1" x14ac:dyDescent="0.2">
      <c r="A14" s="107"/>
      <c r="B14" s="82"/>
      <c r="C14" s="82"/>
      <c r="D14" s="82"/>
      <c r="E14" s="82"/>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106"/>
    </row>
    <row r="15" spans="1:38" s="14" customFormat="1" ht="15" customHeight="1" x14ac:dyDescent="0.25">
      <c r="A15" s="108"/>
      <c r="B15" s="28" t="str">
        <f ca="1">OFFSET(IF($D$5=TRUE,FORM!C24,FORM!B24),,)</f>
        <v>GENERAL INFORMATION</v>
      </c>
      <c r="C15" s="28"/>
      <c r="D15" s="25"/>
      <c r="E15" s="22"/>
      <c r="F15" s="22"/>
      <c r="G15" s="22"/>
      <c r="H15" s="22"/>
      <c r="I15" s="22"/>
      <c r="J15" s="22"/>
      <c r="K15" s="22"/>
      <c r="L15" s="22"/>
      <c r="M15" s="22"/>
      <c r="N15" s="26"/>
      <c r="O15" s="23"/>
      <c r="P15" s="23"/>
      <c r="Q15" s="23"/>
      <c r="R15" s="23"/>
      <c r="S15" s="23"/>
      <c r="T15" s="23"/>
      <c r="U15" s="23"/>
      <c r="V15" s="23"/>
      <c r="W15" s="23"/>
      <c r="X15" s="22"/>
      <c r="Y15" s="22"/>
      <c r="Z15" s="22"/>
      <c r="AA15" s="22"/>
      <c r="AB15" s="22"/>
      <c r="AC15" s="22"/>
      <c r="AD15" s="22"/>
      <c r="AE15" s="22"/>
      <c r="AF15" s="22"/>
      <c r="AG15" s="22"/>
      <c r="AH15" s="22"/>
      <c r="AI15" s="22"/>
      <c r="AJ15" s="22"/>
      <c r="AK15" s="105"/>
    </row>
    <row r="16" spans="1:38" s="14" customFormat="1" ht="15" customHeight="1" x14ac:dyDescent="0.2">
      <c r="A16" s="153" t="str">
        <f ca="1">OFFSET(IF($D$5=TRUE,FORM!C4,FORM!B4),,)</f>
        <v>REPORTING COUNTRY</v>
      </c>
      <c r="B16" s="144"/>
      <c r="C16" s="157"/>
      <c r="D16" s="149"/>
      <c r="E16" s="22"/>
      <c r="F16" s="22"/>
      <c r="G16" s="22"/>
      <c r="H16" s="22"/>
      <c r="I16" s="22"/>
      <c r="J16" s="22"/>
      <c r="K16" s="22"/>
      <c r="L16" s="22"/>
      <c r="M16" s="22"/>
      <c r="N16" s="26"/>
      <c r="O16" s="23"/>
      <c r="P16" s="23"/>
      <c r="Q16" s="143" t="str">
        <f ca="1">OFFSET(IF($D$5=TRUE,FORM!C6,FORM!B6),,)</f>
        <v>YEAR</v>
      </c>
      <c r="R16" s="144"/>
      <c r="S16" s="145"/>
      <c r="T16" s="146"/>
      <c r="U16" s="23"/>
      <c r="V16" s="23"/>
      <c r="W16" s="23"/>
      <c r="X16" s="22"/>
      <c r="Y16" s="22"/>
      <c r="Z16" s="22"/>
      <c r="AA16" s="22"/>
      <c r="AB16" s="22"/>
      <c r="AC16" s="22"/>
      <c r="AD16" s="22"/>
      <c r="AE16" s="22"/>
      <c r="AF16" s="22"/>
      <c r="AG16" s="22"/>
      <c r="AH16" s="22"/>
      <c r="AI16" s="22"/>
      <c r="AJ16" s="22"/>
      <c r="AK16" s="105"/>
    </row>
    <row r="17" spans="1:132" s="14" customFormat="1" ht="15" customHeight="1" x14ac:dyDescent="0.2">
      <c r="A17" s="153" t="str">
        <f ca="1">OFFSET(IF($D$5=TRUE,FORM!C5,FORM!B5),,)</f>
        <v>FLAG COUNTRY</v>
      </c>
      <c r="B17" s="144"/>
      <c r="C17" s="157"/>
      <c r="D17" s="149"/>
      <c r="E17" s="22"/>
      <c r="F17" s="22"/>
      <c r="G17" s="22"/>
      <c r="H17" s="22"/>
      <c r="I17" s="22"/>
      <c r="J17" s="22"/>
      <c r="K17" s="22"/>
      <c r="L17" s="22"/>
      <c r="M17" s="22"/>
      <c r="N17" s="26"/>
      <c r="O17" s="23"/>
      <c r="P17" s="23"/>
      <c r="Q17" s="143" t="str">
        <f ca="1">OFFSET(IF($D$5=TRUE,FORM!C7,FORM!B7),,)</f>
        <v>CATCH UNITS</v>
      </c>
      <c r="R17" s="144"/>
      <c r="S17" s="147"/>
      <c r="T17" s="148"/>
      <c r="U17" s="148"/>
      <c r="V17" s="148"/>
      <c r="W17" s="149"/>
      <c r="X17" s="22"/>
      <c r="Y17" s="22"/>
      <c r="Z17" s="22"/>
      <c r="AA17" s="22"/>
      <c r="AB17" s="22"/>
      <c r="AC17" s="22"/>
      <c r="AD17" s="22"/>
      <c r="AE17" s="22"/>
      <c r="AF17" s="22"/>
      <c r="AG17" s="22"/>
      <c r="AH17" s="22"/>
      <c r="AI17" s="22"/>
      <c r="AJ17" s="22"/>
      <c r="AK17" s="105"/>
    </row>
    <row r="18" spans="1:132" s="14" customFormat="1" ht="15" customHeight="1" x14ac:dyDescent="0.2">
      <c r="A18" s="109"/>
      <c r="B18" s="22"/>
      <c r="C18" s="22"/>
      <c r="D18" s="22"/>
      <c r="E18" s="22"/>
      <c r="F18" s="22"/>
      <c r="G18" s="22"/>
      <c r="H18" s="22"/>
      <c r="I18" s="22"/>
      <c r="J18" s="22"/>
      <c r="K18" s="22"/>
      <c r="L18" s="22"/>
      <c r="M18" s="22"/>
      <c r="N18" s="26"/>
      <c r="O18" s="23"/>
      <c r="P18" s="23"/>
      <c r="Q18" s="23"/>
      <c r="R18" s="23"/>
      <c r="S18" s="23"/>
      <c r="T18" s="23"/>
      <c r="U18" s="23"/>
      <c r="V18" s="23"/>
      <c r="W18" s="23"/>
      <c r="X18" s="22"/>
      <c r="Y18" s="22"/>
      <c r="Z18" s="22"/>
      <c r="AA18" s="22"/>
      <c r="AB18" s="22"/>
      <c r="AC18" s="22"/>
      <c r="AD18" s="22"/>
      <c r="AE18" s="22"/>
      <c r="AF18" s="22"/>
      <c r="AG18" s="22"/>
      <c r="AH18" s="22"/>
      <c r="AI18" s="22"/>
      <c r="AJ18" s="22"/>
      <c r="AK18" s="105"/>
    </row>
    <row r="19" spans="1:132" s="14" customFormat="1" ht="7.5" customHeight="1" x14ac:dyDescent="0.2">
      <c r="A19" s="15"/>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03"/>
    </row>
    <row r="20" spans="1:132" s="14" customFormat="1" x14ac:dyDescent="0.2">
      <c r="A20" s="154" t="str">
        <f ca="1">OFFSET(IF($D$5=TRUE,FORM!C8,FORM!B8),,)</f>
        <v>COMMENTS</v>
      </c>
      <c r="B20" s="133"/>
      <c r="C20" s="134"/>
      <c r="D20" s="134"/>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5"/>
      <c r="AG20" s="16"/>
      <c r="AH20" s="16"/>
      <c r="AI20" s="16"/>
      <c r="AJ20" s="16"/>
      <c r="AK20" s="103"/>
    </row>
    <row r="21" spans="1:132" s="14" customFormat="1" x14ac:dyDescent="0.2">
      <c r="A21" s="155"/>
      <c r="B21" s="136"/>
      <c r="C21" s="137"/>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8"/>
      <c r="AG21" s="16"/>
      <c r="AH21" s="16"/>
      <c r="AI21" s="16"/>
      <c r="AJ21" s="16"/>
      <c r="AK21" s="103"/>
    </row>
    <row r="22" spans="1:132" s="14" customFormat="1" x14ac:dyDescent="0.2">
      <c r="A22" s="155"/>
      <c r="B22" s="136"/>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8"/>
      <c r="AG22" s="16"/>
      <c r="AH22" s="16"/>
      <c r="AI22" s="16"/>
      <c r="AJ22" s="16"/>
      <c r="AK22" s="103"/>
    </row>
    <row r="23" spans="1:132" s="14" customFormat="1" x14ac:dyDescent="0.2">
      <c r="A23" s="156"/>
      <c r="B23" s="139"/>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1"/>
      <c r="AG23" s="16"/>
      <c r="AH23" s="16"/>
      <c r="AI23" s="16"/>
      <c r="AJ23" s="16"/>
      <c r="AK23" s="103"/>
    </row>
    <row r="24" spans="1:132" s="14" customFormat="1" ht="7.5" customHeight="1" x14ac:dyDescent="0.2">
      <c r="A24" s="110"/>
      <c r="B24" s="81"/>
      <c r="C24" s="16"/>
      <c r="D24" s="16"/>
      <c r="E24" s="18"/>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03"/>
    </row>
    <row r="25" spans="1:132" s="14" customFormat="1" x14ac:dyDescent="0.2">
      <c r="A25" s="131" t="str">
        <f ca="1">OFFSET(IF($D$5=TRUE,FORM!C26,FORM!B26),,)</f>
        <v>QUARTER</v>
      </c>
      <c r="B25" s="142" t="str">
        <f ca="1">OFFSET(IF($D$5=TRUE,FORM!C9,FORM!B9),,)</f>
        <v>FISHERY</v>
      </c>
      <c r="C25" s="142" t="str">
        <f ca="1">OFFSET(IF($D$5=TRUE,FORM!C10,FORM!B10),,)</f>
        <v>AREA</v>
      </c>
      <c r="D25" s="132" t="str">
        <f ca="1">OFFSET(IF($D$5=TRUE,FORM!C11,FORM!B11),,)</f>
        <v>TYPE OF DATA (FIN: Final; PRE: Preliminary)</v>
      </c>
      <c r="E25" s="132" t="str">
        <f ca="1">OFFSET(IF($D$5=TRUE,FORM!C12,FORM!B12),,)</f>
        <v>DATA SOURCES</v>
      </c>
      <c r="F25" s="132" t="str">
        <f ca="1">OFFSET(IF($D$5=TRUE,FORM!C13,FORM!B13),,)</f>
        <v>DATA PROCESSING</v>
      </c>
      <c r="G25" s="132" t="str">
        <f ca="1">OFFSET(IF($D$5=TRUE,FORM!C14,FORM!B14),,)</f>
        <v>TARGET SPECIES</v>
      </c>
      <c r="H25" s="132" t="str">
        <f ca="1">OFFSET(IF($D$5=TRUE,FORM!C15,FORM!B15),,)</f>
        <v>COVERAGE</v>
      </c>
      <c r="I25" s="132" t="str">
        <f ca="1">OFFSET(IF($D$5=TRUE,FORM!C27,FORM!B27),,)</f>
        <v>RETAINED REASON</v>
      </c>
      <c r="J25" s="150" t="str">
        <f ca="1">OFFSET(IF($D$5=TRUE,FORM!C16,FORM!B16),,)</f>
        <v>SPECIES</v>
      </c>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c r="AL25" s="151"/>
      <c r="AM25" s="151"/>
      <c r="AN25" s="151"/>
      <c r="AO25" s="151"/>
      <c r="AP25" s="151"/>
      <c r="AQ25" s="151"/>
      <c r="AR25" s="151"/>
      <c r="AS25" s="151"/>
      <c r="AT25" s="151"/>
      <c r="AU25" s="151"/>
      <c r="AV25" s="151"/>
      <c r="AW25" s="151"/>
      <c r="AX25" s="151"/>
      <c r="AY25" s="151"/>
      <c r="AZ25" s="151"/>
      <c r="BA25" s="151"/>
      <c r="BB25" s="151"/>
      <c r="BC25" s="151"/>
      <c r="BD25" s="151"/>
      <c r="BE25" s="151"/>
      <c r="BF25" s="151"/>
      <c r="BG25" s="151"/>
      <c r="BH25" s="151"/>
      <c r="BI25" s="151"/>
      <c r="BJ25" s="151"/>
      <c r="BK25" s="151"/>
      <c r="BL25" s="151"/>
      <c r="BM25" s="151"/>
      <c r="BN25" s="151"/>
      <c r="BO25" s="151"/>
      <c r="BP25" s="151"/>
      <c r="BQ25" s="151"/>
      <c r="BR25" s="151"/>
      <c r="BS25" s="151"/>
      <c r="BT25" s="151"/>
      <c r="BU25" s="151"/>
      <c r="BV25" s="151"/>
      <c r="BW25" s="151"/>
      <c r="BX25" s="151"/>
      <c r="BY25" s="151"/>
      <c r="BZ25" s="151"/>
      <c r="CA25" s="151"/>
      <c r="CB25" s="151"/>
      <c r="CC25" s="151"/>
      <c r="CD25" s="151"/>
      <c r="CE25" s="151"/>
      <c r="CF25" s="151"/>
      <c r="CG25" s="151"/>
      <c r="CH25" s="151"/>
      <c r="CI25" s="151"/>
      <c r="CJ25" s="151"/>
      <c r="CK25" s="151"/>
      <c r="CL25" s="151"/>
      <c r="CM25" s="151"/>
      <c r="CN25" s="151"/>
      <c r="CO25" s="151"/>
      <c r="CP25" s="151"/>
      <c r="CQ25" s="151"/>
      <c r="CR25" s="151"/>
      <c r="CS25" s="151"/>
      <c r="CT25" s="151"/>
      <c r="CU25" s="151"/>
      <c r="CV25" s="151"/>
      <c r="CW25" s="151"/>
      <c r="CX25" s="151"/>
      <c r="CY25" s="151"/>
      <c r="CZ25" s="151"/>
      <c r="DA25" s="151"/>
      <c r="DB25" s="151"/>
      <c r="DC25" s="151"/>
      <c r="DD25" s="151"/>
      <c r="DE25" s="151"/>
      <c r="DF25" s="151"/>
      <c r="DG25" s="151"/>
      <c r="DH25" s="151"/>
      <c r="DI25" s="151"/>
      <c r="DJ25" s="151"/>
      <c r="DK25" s="151"/>
      <c r="DL25" s="151"/>
      <c r="DM25" s="151"/>
      <c r="DN25" s="151"/>
      <c r="DO25" s="151"/>
      <c r="DP25" s="151"/>
      <c r="DQ25" s="151"/>
      <c r="DR25" s="151"/>
      <c r="DS25" s="151"/>
      <c r="DT25" s="151"/>
      <c r="DU25" s="151"/>
      <c r="DV25" s="151"/>
      <c r="DW25" s="151"/>
      <c r="DX25" s="151"/>
      <c r="DY25" s="151"/>
      <c r="DZ25" s="151"/>
      <c r="EA25" s="151"/>
      <c r="EB25" s="152"/>
    </row>
    <row r="26" spans="1:132" s="14" customFormat="1" x14ac:dyDescent="0.2">
      <c r="A26" s="131"/>
      <c r="B26" s="142"/>
      <c r="C26" s="142"/>
      <c r="D26" s="132" t="b">
        <v>0</v>
      </c>
      <c r="E26" s="132"/>
      <c r="F26" s="132"/>
      <c r="G26" s="132"/>
      <c r="H26" s="132"/>
      <c r="I26" s="132"/>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c r="CY26" s="111"/>
      <c r="CZ26" s="111"/>
      <c r="DA26" s="111"/>
      <c r="DB26" s="111"/>
      <c r="DC26" s="111"/>
      <c r="DD26" s="111"/>
      <c r="DE26" s="111"/>
      <c r="DF26" s="111"/>
      <c r="DG26" s="111"/>
      <c r="DH26" s="111"/>
      <c r="DI26" s="111"/>
      <c r="DJ26" s="111"/>
      <c r="DK26" s="111"/>
      <c r="DL26" s="111"/>
      <c r="DM26" s="111"/>
      <c r="DN26" s="111"/>
      <c r="DO26" s="111"/>
      <c r="DP26" s="111"/>
      <c r="DQ26" s="111"/>
      <c r="DR26" s="111"/>
      <c r="DS26" s="111"/>
      <c r="DT26" s="111"/>
      <c r="DU26" s="111"/>
      <c r="DV26" s="111"/>
      <c r="DW26" s="111"/>
      <c r="DX26" s="111"/>
      <c r="DY26" s="111"/>
      <c r="DZ26" s="111"/>
      <c r="EA26" s="111"/>
      <c r="EB26" s="111"/>
    </row>
    <row r="27" spans="1:132" s="14" customFormat="1" ht="21.2" customHeight="1" x14ac:dyDescent="0.2">
      <c r="A27" s="131"/>
      <c r="B27" s="142"/>
      <c r="C27" s="142"/>
      <c r="D27" s="132"/>
      <c r="E27" s="132"/>
      <c r="F27" s="132"/>
      <c r="G27" s="132"/>
      <c r="H27" s="132"/>
      <c r="I27" s="132"/>
      <c r="J27" s="99" t="str">
        <f t="shared" ref="J27:AM27" si="0">IF(J26="","",IF(lang3="Code",INDEX(SPSC,MATCH(J26,CODESPC,0)),IF(lang3="ENGLISH_I_ANGLAIS",INDEX(SPSC,MATCH(J26,ENGLISH_I_ANGLAISSPC,0)),IF(lang3="FRANÇAIS_I_FRENCH",INDEX(SPSC,MATCH(J26,FRANÇAIS_I_FRENCHSPC,0)),))))</f>
        <v/>
      </c>
      <c r="K27" s="99" t="str">
        <f t="shared" si="0"/>
        <v/>
      </c>
      <c r="L27" s="99" t="str">
        <f t="shared" si="0"/>
        <v/>
      </c>
      <c r="M27" s="99" t="str">
        <f t="shared" si="0"/>
        <v/>
      </c>
      <c r="N27" s="99" t="str">
        <f t="shared" si="0"/>
        <v/>
      </c>
      <c r="O27" s="99" t="str">
        <f t="shared" si="0"/>
        <v/>
      </c>
      <c r="P27" s="99" t="str">
        <f t="shared" si="0"/>
        <v/>
      </c>
      <c r="Q27" s="99" t="str">
        <f t="shared" si="0"/>
        <v/>
      </c>
      <c r="R27" s="99" t="str">
        <f t="shared" si="0"/>
        <v/>
      </c>
      <c r="S27" s="99" t="str">
        <f t="shared" si="0"/>
        <v/>
      </c>
      <c r="T27" s="99" t="str">
        <f t="shared" si="0"/>
        <v/>
      </c>
      <c r="U27" s="99" t="str">
        <f t="shared" si="0"/>
        <v/>
      </c>
      <c r="V27" s="99" t="str">
        <f t="shared" si="0"/>
        <v/>
      </c>
      <c r="W27" s="99" t="str">
        <f t="shared" si="0"/>
        <v/>
      </c>
      <c r="X27" s="99" t="str">
        <f t="shared" si="0"/>
        <v/>
      </c>
      <c r="Y27" s="99" t="str">
        <f t="shared" si="0"/>
        <v/>
      </c>
      <c r="Z27" s="99" t="str">
        <f t="shared" si="0"/>
        <v/>
      </c>
      <c r="AA27" s="99" t="str">
        <f t="shared" si="0"/>
        <v/>
      </c>
      <c r="AB27" s="99" t="str">
        <f t="shared" si="0"/>
        <v/>
      </c>
      <c r="AC27" s="99" t="str">
        <f t="shared" si="0"/>
        <v/>
      </c>
      <c r="AD27" s="99" t="str">
        <f t="shared" si="0"/>
        <v/>
      </c>
      <c r="AE27" s="99" t="str">
        <f t="shared" si="0"/>
        <v/>
      </c>
      <c r="AF27" s="99" t="str">
        <f t="shared" si="0"/>
        <v/>
      </c>
      <c r="AG27" s="99" t="str">
        <f t="shared" si="0"/>
        <v/>
      </c>
      <c r="AH27" s="99" t="str">
        <f t="shared" si="0"/>
        <v/>
      </c>
      <c r="AI27" s="99" t="str">
        <f t="shared" si="0"/>
        <v/>
      </c>
      <c r="AJ27" s="99" t="str">
        <f t="shared" si="0"/>
        <v/>
      </c>
      <c r="AK27" s="99" t="str">
        <f t="shared" si="0"/>
        <v/>
      </c>
      <c r="AL27" s="99" t="str">
        <f t="shared" si="0"/>
        <v/>
      </c>
      <c r="AM27" s="99" t="str">
        <f t="shared" si="0"/>
        <v/>
      </c>
      <c r="AN27" s="99" t="str">
        <f t="shared" ref="AN27:CY27" si="1">IF(AN26="","",IF(lang3="Code",INDEX(SPSC,MATCH(AN26,CODESPC,0)),IF(lang3="ENGLISH_I_ANGLAIS",INDEX(SPSC,MATCH(AN26,ENGLISH_I_ANGLAISSPC,0)),IF(lang3="FRANÇAIS_I_FRENCH",INDEX(SPSC,MATCH(AN26,FRANÇAIS_I_FRENCHSPC,0)),))))</f>
        <v/>
      </c>
      <c r="AO27" s="99" t="str">
        <f t="shared" si="1"/>
        <v/>
      </c>
      <c r="AP27" s="99" t="str">
        <f t="shared" si="1"/>
        <v/>
      </c>
      <c r="AQ27" s="99" t="str">
        <f t="shared" si="1"/>
        <v/>
      </c>
      <c r="AR27" s="99" t="str">
        <f t="shared" si="1"/>
        <v/>
      </c>
      <c r="AS27" s="99" t="str">
        <f t="shared" si="1"/>
        <v/>
      </c>
      <c r="AT27" s="99" t="str">
        <f t="shared" si="1"/>
        <v/>
      </c>
      <c r="AU27" s="99" t="str">
        <f t="shared" si="1"/>
        <v/>
      </c>
      <c r="AV27" s="99" t="str">
        <f t="shared" si="1"/>
        <v/>
      </c>
      <c r="AW27" s="99" t="str">
        <f t="shared" si="1"/>
        <v/>
      </c>
      <c r="AX27" s="99" t="str">
        <f t="shared" si="1"/>
        <v/>
      </c>
      <c r="AY27" s="99" t="str">
        <f t="shared" si="1"/>
        <v/>
      </c>
      <c r="AZ27" s="99" t="str">
        <f t="shared" si="1"/>
        <v/>
      </c>
      <c r="BA27" s="99" t="str">
        <f t="shared" si="1"/>
        <v/>
      </c>
      <c r="BB27" s="99" t="str">
        <f t="shared" si="1"/>
        <v/>
      </c>
      <c r="BC27" s="99" t="str">
        <f t="shared" si="1"/>
        <v/>
      </c>
      <c r="BD27" s="99" t="str">
        <f t="shared" si="1"/>
        <v/>
      </c>
      <c r="BE27" s="99" t="str">
        <f t="shared" si="1"/>
        <v/>
      </c>
      <c r="BF27" s="99" t="str">
        <f t="shared" si="1"/>
        <v/>
      </c>
      <c r="BG27" s="99" t="str">
        <f t="shared" si="1"/>
        <v/>
      </c>
      <c r="BH27" s="99" t="str">
        <f t="shared" si="1"/>
        <v/>
      </c>
      <c r="BI27" s="99" t="str">
        <f t="shared" si="1"/>
        <v/>
      </c>
      <c r="BJ27" s="99" t="str">
        <f t="shared" si="1"/>
        <v/>
      </c>
      <c r="BK27" s="99" t="str">
        <f t="shared" si="1"/>
        <v/>
      </c>
      <c r="BL27" s="99" t="str">
        <f t="shared" si="1"/>
        <v/>
      </c>
      <c r="BM27" s="99" t="str">
        <f t="shared" si="1"/>
        <v/>
      </c>
      <c r="BN27" s="99" t="str">
        <f t="shared" si="1"/>
        <v/>
      </c>
      <c r="BO27" s="99" t="str">
        <f t="shared" si="1"/>
        <v/>
      </c>
      <c r="BP27" s="99" t="str">
        <f t="shared" si="1"/>
        <v/>
      </c>
      <c r="BQ27" s="99" t="str">
        <f t="shared" si="1"/>
        <v/>
      </c>
      <c r="BR27" s="99" t="str">
        <f t="shared" si="1"/>
        <v/>
      </c>
      <c r="BS27" s="99" t="str">
        <f t="shared" si="1"/>
        <v/>
      </c>
      <c r="BT27" s="99" t="str">
        <f t="shared" si="1"/>
        <v/>
      </c>
      <c r="BU27" s="99" t="str">
        <f t="shared" si="1"/>
        <v/>
      </c>
      <c r="BV27" s="99" t="str">
        <f t="shared" si="1"/>
        <v/>
      </c>
      <c r="BW27" s="99" t="str">
        <f t="shared" si="1"/>
        <v/>
      </c>
      <c r="BX27" s="99" t="str">
        <f t="shared" si="1"/>
        <v/>
      </c>
      <c r="BY27" s="99" t="str">
        <f t="shared" si="1"/>
        <v/>
      </c>
      <c r="BZ27" s="99" t="str">
        <f t="shared" si="1"/>
        <v/>
      </c>
      <c r="CA27" s="99" t="str">
        <f t="shared" si="1"/>
        <v/>
      </c>
      <c r="CB27" s="99" t="str">
        <f t="shared" si="1"/>
        <v/>
      </c>
      <c r="CC27" s="99" t="str">
        <f t="shared" si="1"/>
        <v/>
      </c>
      <c r="CD27" s="99" t="str">
        <f t="shared" si="1"/>
        <v/>
      </c>
      <c r="CE27" s="99" t="str">
        <f t="shared" si="1"/>
        <v/>
      </c>
      <c r="CF27" s="99" t="str">
        <f t="shared" si="1"/>
        <v/>
      </c>
      <c r="CG27" s="99" t="str">
        <f t="shared" si="1"/>
        <v/>
      </c>
      <c r="CH27" s="99" t="str">
        <f t="shared" si="1"/>
        <v/>
      </c>
      <c r="CI27" s="99" t="str">
        <f t="shared" si="1"/>
        <v/>
      </c>
      <c r="CJ27" s="99" t="str">
        <f t="shared" si="1"/>
        <v/>
      </c>
      <c r="CK27" s="99" t="str">
        <f t="shared" si="1"/>
        <v/>
      </c>
      <c r="CL27" s="99" t="str">
        <f t="shared" si="1"/>
        <v/>
      </c>
      <c r="CM27" s="99" t="str">
        <f t="shared" si="1"/>
        <v/>
      </c>
      <c r="CN27" s="99" t="str">
        <f t="shared" si="1"/>
        <v/>
      </c>
      <c r="CO27" s="99" t="str">
        <f t="shared" si="1"/>
        <v/>
      </c>
      <c r="CP27" s="99" t="str">
        <f t="shared" si="1"/>
        <v/>
      </c>
      <c r="CQ27" s="99" t="str">
        <f t="shared" si="1"/>
        <v/>
      </c>
      <c r="CR27" s="99" t="str">
        <f t="shared" si="1"/>
        <v/>
      </c>
      <c r="CS27" s="99" t="str">
        <f t="shared" si="1"/>
        <v/>
      </c>
      <c r="CT27" s="99" t="str">
        <f t="shared" si="1"/>
        <v/>
      </c>
      <c r="CU27" s="99" t="str">
        <f t="shared" si="1"/>
        <v/>
      </c>
      <c r="CV27" s="99" t="str">
        <f t="shared" si="1"/>
        <v/>
      </c>
      <c r="CW27" s="99" t="str">
        <f t="shared" si="1"/>
        <v/>
      </c>
      <c r="CX27" s="99" t="str">
        <f t="shared" si="1"/>
        <v/>
      </c>
      <c r="CY27" s="99" t="str">
        <f t="shared" si="1"/>
        <v/>
      </c>
      <c r="CZ27" s="99" t="str">
        <f t="shared" ref="CZ27:EB27" si="2">IF(CZ26="","",IF(lang3="Code",INDEX(SPSC,MATCH(CZ26,CODESPC,0)),IF(lang3="ENGLISH_I_ANGLAIS",INDEX(SPSC,MATCH(CZ26,ENGLISH_I_ANGLAISSPC,0)),IF(lang3="FRANÇAIS_I_FRENCH",INDEX(SPSC,MATCH(CZ26,FRANÇAIS_I_FRENCHSPC,0)),))))</f>
        <v/>
      </c>
      <c r="DA27" s="99" t="str">
        <f t="shared" si="2"/>
        <v/>
      </c>
      <c r="DB27" s="99" t="str">
        <f t="shared" si="2"/>
        <v/>
      </c>
      <c r="DC27" s="99" t="str">
        <f t="shared" si="2"/>
        <v/>
      </c>
      <c r="DD27" s="99" t="str">
        <f t="shared" si="2"/>
        <v/>
      </c>
      <c r="DE27" s="99" t="str">
        <f t="shared" si="2"/>
        <v/>
      </c>
      <c r="DF27" s="99" t="str">
        <f t="shared" si="2"/>
        <v/>
      </c>
      <c r="DG27" s="99" t="str">
        <f t="shared" si="2"/>
        <v/>
      </c>
      <c r="DH27" s="99" t="str">
        <f t="shared" si="2"/>
        <v/>
      </c>
      <c r="DI27" s="99" t="str">
        <f t="shared" si="2"/>
        <v/>
      </c>
      <c r="DJ27" s="99" t="str">
        <f t="shared" si="2"/>
        <v/>
      </c>
      <c r="DK27" s="99" t="str">
        <f t="shared" si="2"/>
        <v/>
      </c>
      <c r="DL27" s="99" t="str">
        <f t="shared" si="2"/>
        <v/>
      </c>
      <c r="DM27" s="99" t="str">
        <f t="shared" si="2"/>
        <v/>
      </c>
      <c r="DN27" s="99" t="str">
        <f t="shared" si="2"/>
        <v/>
      </c>
      <c r="DO27" s="99" t="str">
        <f t="shared" si="2"/>
        <v/>
      </c>
      <c r="DP27" s="99" t="str">
        <f t="shared" si="2"/>
        <v/>
      </c>
      <c r="DQ27" s="99" t="str">
        <f t="shared" si="2"/>
        <v/>
      </c>
      <c r="DR27" s="99" t="str">
        <f t="shared" si="2"/>
        <v/>
      </c>
      <c r="DS27" s="99" t="str">
        <f t="shared" si="2"/>
        <v/>
      </c>
      <c r="DT27" s="99" t="str">
        <f t="shared" si="2"/>
        <v/>
      </c>
      <c r="DU27" s="99" t="str">
        <f t="shared" si="2"/>
        <v/>
      </c>
      <c r="DV27" s="99" t="str">
        <f t="shared" si="2"/>
        <v/>
      </c>
      <c r="DW27" s="99" t="str">
        <f t="shared" si="2"/>
        <v/>
      </c>
      <c r="DX27" s="99" t="str">
        <f t="shared" si="2"/>
        <v/>
      </c>
      <c r="DY27" s="99" t="str">
        <f t="shared" si="2"/>
        <v/>
      </c>
      <c r="DZ27" s="99" t="str">
        <f t="shared" si="2"/>
        <v/>
      </c>
      <c r="EA27" s="99" t="str">
        <f t="shared" si="2"/>
        <v/>
      </c>
      <c r="EB27" s="99" t="str">
        <f t="shared" si="2"/>
        <v/>
      </c>
    </row>
    <row r="28" spans="1:132" s="14" customFormat="1" x14ac:dyDescent="0.2">
      <c r="A28" s="96"/>
      <c r="B28" s="94"/>
      <c r="C28" s="95"/>
      <c r="D28" s="97"/>
      <c r="E28" s="94"/>
      <c r="F28" s="94"/>
      <c r="G28" s="95"/>
      <c r="H28" s="95"/>
      <c r="I28" s="95"/>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c r="BG28" s="98"/>
      <c r="BH28" s="98"/>
      <c r="BI28" s="98"/>
      <c r="BJ28" s="98"/>
      <c r="BK28" s="98"/>
      <c r="BL28" s="98"/>
      <c r="BM28" s="98"/>
      <c r="BN28" s="98"/>
      <c r="BO28" s="98"/>
      <c r="BP28" s="98"/>
      <c r="BQ28" s="98"/>
      <c r="BR28" s="98"/>
      <c r="BS28" s="98"/>
      <c r="BT28" s="98"/>
      <c r="BU28" s="98"/>
      <c r="BV28" s="98"/>
      <c r="BW28" s="98"/>
      <c r="BX28" s="98"/>
      <c r="BY28" s="98"/>
      <c r="BZ28" s="98"/>
      <c r="CA28" s="98"/>
      <c r="CB28" s="98"/>
      <c r="CC28" s="98"/>
      <c r="CD28" s="98"/>
      <c r="CE28" s="98"/>
      <c r="CF28" s="98"/>
      <c r="CG28" s="98"/>
      <c r="CH28" s="98"/>
      <c r="CI28" s="98"/>
      <c r="CJ28" s="98"/>
      <c r="CK28" s="98"/>
      <c r="CL28" s="98"/>
      <c r="CM28" s="98"/>
      <c r="CN28" s="98"/>
      <c r="CO28" s="98"/>
      <c r="CP28" s="98"/>
      <c r="CQ28" s="98"/>
      <c r="CR28" s="98"/>
      <c r="CS28" s="98"/>
      <c r="CT28" s="98"/>
      <c r="CU28" s="98"/>
      <c r="CV28" s="98"/>
      <c r="CW28" s="98"/>
      <c r="CX28" s="98"/>
      <c r="CY28" s="98"/>
      <c r="CZ28" s="98"/>
      <c r="DA28" s="98"/>
      <c r="DB28" s="98"/>
      <c r="DC28" s="98"/>
      <c r="DD28" s="98"/>
      <c r="DE28" s="98"/>
      <c r="DF28" s="98"/>
      <c r="DG28" s="98"/>
      <c r="DH28" s="98"/>
      <c r="DI28" s="98"/>
      <c r="DJ28" s="98"/>
      <c r="DK28" s="98"/>
      <c r="DL28" s="98"/>
      <c r="DM28" s="98"/>
      <c r="DN28" s="98"/>
      <c r="DO28" s="98"/>
      <c r="DP28" s="98"/>
      <c r="DQ28" s="98"/>
      <c r="DR28" s="98"/>
      <c r="DS28" s="98"/>
      <c r="DT28" s="98"/>
      <c r="DU28" s="98"/>
      <c r="DV28" s="98"/>
      <c r="DW28" s="98"/>
      <c r="DX28" s="98"/>
      <c r="DY28" s="98"/>
      <c r="DZ28" s="98"/>
      <c r="EA28" s="98"/>
      <c r="EB28" s="98"/>
    </row>
    <row r="29" spans="1:132" x14ac:dyDescent="0.2">
      <c r="A29" s="96"/>
      <c r="B29" s="94"/>
      <c r="C29" s="95"/>
      <c r="D29" s="97"/>
      <c r="E29" s="94"/>
      <c r="F29" s="94"/>
      <c r="G29" s="95"/>
      <c r="H29" s="95"/>
      <c r="I29" s="95"/>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c r="BG29" s="98"/>
      <c r="BH29" s="98"/>
      <c r="BI29" s="98"/>
      <c r="BJ29" s="98"/>
      <c r="BK29" s="98"/>
      <c r="BL29" s="98"/>
      <c r="BM29" s="98"/>
      <c r="BN29" s="98"/>
      <c r="BO29" s="98"/>
      <c r="BP29" s="98"/>
      <c r="BQ29" s="98"/>
      <c r="BR29" s="98"/>
      <c r="BS29" s="98"/>
      <c r="BT29" s="98"/>
      <c r="BU29" s="98"/>
      <c r="BV29" s="98"/>
      <c r="BW29" s="98"/>
      <c r="BX29" s="98"/>
      <c r="BY29" s="98"/>
      <c r="BZ29" s="98"/>
      <c r="CA29" s="98"/>
      <c r="CB29" s="98"/>
      <c r="CC29" s="98"/>
      <c r="CD29" s="98"/>
      <c r="CE29" s="98"/>
      <c r="CF29" s="98"/>
      <c r="CG29" s="98"/>
      <c r="CH29" s="98"/>
      <c r="CI29" s="98"/>
      <c r="CJ29" s="98"/>
      <c r="CK29" s="98"/>
      <c r="CL29" s="98"/>
      <c r="CM29" s="98"/>
      <c r="CN29" s="98"/>
      <c r="CO29" s="98"/>
      <c r="CP29" s="98"/>
      <c r="CQ29" s="98"/>
      <c r="CR29" s="98"/>
      <c r="CS29" s="98"/>
      <c r="CT29" s="98"/>
      <c r="CU29" s="98"/>
      <c r="CV29" s="98"/>
      <c r="CW29" s="98"/>
      <c r="CX29" s="98"/>
      <c r="CY29" s="98"/>
      <c r="CZ29" s="98"/>
      <c r="DA29" s="98"/>
      <c r="DB29" s="98"/>
      <c r="DC29" s="98"/>
      <c r="DD29" s="98"/>
      <c r="DE29" s="98"/>
      <c r="DF29" s="98"/>
      <c r="DG29" s="98"/>
      <c r="DH29" s="98"/>
      <c r="DI29" s="98"/>
      <c r="DJ29" s="98"/>
      <c r="DK29" s="98"/>
      <c r="DL29" s="98"/>
      <c r="DM29" s="98"/>
      <c r="DN29" s="98"/>
      <c r="DO29" s="98"/>
      <c r="DP29" s="98"/>
      <c r="DQ29" s="98"/>
      <c r="DR29" s="98"/>
      <c r="DS29" s="98"/>
      <c r="DT29" s="98"/>
      <c r="DU29" s="98"/>
      <c r="DV29" s="98"/>
      <c r="DW29" s="98"/>
      <c r="DX29" s="98"/>
      <c r="DY29" s="98"/>
      <c r="DZ29" s="98"/>
      <c r="EA29" s="98"/>
      <c r="EB29" s="98"/>
    </row>
    <row r="30" spans="1:132" x14ac:dyDescent="0.2">
      <c r="A30" s="96"/>
      <c r="B30" s="94"/>
      <c r="C30" s="95"/>
      <c r="D30" s="97"/>
      <c r="E30" s="94"/>
      <c r="F30" s="94"/>
      <c r="G30" s="95"/>
      <c r="H30" s="95"/>
      <c r="I30" s="95"/>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c r="BG30" s="98"/>
      <c r="BH30" s="98"/>
      <c r="BI30" s="98"/>
      <c r="BJ30" s="98"/>
      <c r="BK30" s="98"/>
      <c r="BL30" s="98"/>
      <c r="BM30" s="98"/>
      <c r="BN30" s="98"/>
      <c r="BO30" s="98"/>
      <c r="BP30" s="98"/>
      <c r="BQ30" s="98"/>
      <c r="BR30" s="98"/>
      <c r="BS30" s="98"/>
      <c r="BT30" s="98"/>
      <c r="BU30" s="98"/>
      <c r="BV30" s="98"/>
      <c r="BW30" s="98"/>
      <c r="BX30" s="98"/>
      <c r="BY30" s="98"/>
      <c r="BZ30" s="98"/>
      <c r="CA30" s="98"/>
      <c r="CB30" s="98"/>
      <c r="CC30" s="98"/>
      <c r="CD30" s="98"/>
      <c r="CE30" s="98"/>
      <c r="CF30" s="98"/>
      <c r="CG30" s="98"/>
      <c r="CH30" s="98"/>
      <c r="CI30" s="98"/>
      <c r="CJ30" s="98"/>
      <c r="CK30" s="98"/>
      <c r="CL30" s="98"/>
      <c r="CM30" s="98"/>
      <c r="CN30" s="98"/>
      <c r="CO30" s="98"/>
      <c r="CP30" s="98"/>
      <c r="CQ30" s="98"/>
      <c r="CR30" s="98"/>
      <c r="CS30" s="98"/>
      <c r="CT30" s="98"/>
      <c r="CU30" s="98"/>
      <c r="CV30" s="98"/>
      <c r="CW30" s="98"/>
      <c r="CX30" s="98"/>
      <c r="CY30" s="98"/>
      <c r="CZ30" s="98"/>
      <c r="DA30" s="98"/>
      <c r="DB30" s="98"/>
      <c r="DC30" s="98"/>
      <c r="DD30" s="98"/>
      <c r="DE30" s="98"/>
      <c r="DF30" s="98"/>
      <c r="DG30" s="98"/>
      <c r="DH30" s="98"/>
      <c r="DI30" s="98"/>
      <c r="DJ30" s="98"/>
      <c r="DK30" s="98"/>
      <c r="DL30" s="98"/>
      <c r="DM30" s="98"/>
      <c r="DN30" s="98"/>
      <c r="DO30" s="98"/>
      <c r="DP30" s="98"/>
      <c r="DQ30" s="98"/>
      <c r="DR30" s="98"/>
      <c r="DS30" s="98"/>
      <c r="DT30" s="98"/>
      <c r="DU30" s="98"/>
      <c r="DV30" s="98"/>
      <c r="DW30" s="98"/>
      <c r="DX30" s="98"/>
      <c r="DY30" s="98"/>
      <c r="DZ30" s="98"/>
      <c r="EA30" s="98"/>
      <c r="EB30" s="98"/>
    </row>
    <row r="31" spans="1:132" x14ac:dyDescent="0.2">
      <c r="A31" s="96"/>
      <c r="B31" s="94"/>
      <c r="C31" s="95"/>
      <c r="D31" s="97"/>
      <c r="E31" s="94"/>
      <c r="F31" s="94"/>
      <c r="G31" s="95"/>
      <c r="H31" s="95"/>
      <c r="I31" s="95"/>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c r="BD31" s="98"/>
      <c r="BE31" s="98"/>
      <c r="BF31" s="98"/>
      <c r="BG31" s="98"/>
      <c r="BH31" s="98"/>
      <c r="BI31" s="98"/>
      <c r="BJ31" s="98"/>
      <c r="BK31" s="98"/>
      <c r="BL31" s="98"/>
      <c r="BM31" s="98"/>
      <c r="BN31" s="98"/>
      <c r="BO31" s="98"/>
      <c r="BP31" s="98"/>
      <c r="BQ31" s="98"/>
      <c r="BR31" s="98"/>
      <c r="BS31" s="98"/>
      <c r="BT31" s="98"/>
      <c r="BU31" s="98"/>
      <c r="BV31" s="98"/>
      <c r="BW31" s="98"/>
      <c r="BX31" s="98"/>
      <c r="BY31" s="98"/>
      <c r="BZ31" s="98"/>
      <c r="CA31" s="98"/>
      <c r="CB31" s="98"/>
      <c r="CC31" s="98"/>
      <c r="CD31" s="98"/>
      <c r="CE31" s="98"/>
      <c r="CF31" s="98"/>
      <c r="CG31" s="98"/>
      <c r="CH31" s="98"/>
      <c r="CI31" s="98"/>
      <c r="CJ31" s="98"/>
      <c r="CK31" s="98"/>
      <c r="CL31" s="98"/>
      <c r="CM31" s="98"/>
      <c r="CN31" s="98"/>
      <c r="CO31" s="98"/>
      <c r="CP31" s="98"/>
      <c r="CQ31" s="98"/>
      <c r="CR31" s="98"/>
      <c r="CS31" s="98"/>
      <c r="CT31" s="98"/>
      <c r="CU31" s="98"/>
      <c r="CV31" s="98"/>
      <c r="CW31" s="98"/>
      <c r="CX31" s="98"/>
      <c r="CY31" s="98"/>
      <c r="CZ31" s="98"/>
      <c r="DA31" s="98"/>
      <c r="DB31" s="98"/>
      <c r="DC31" s="98"/>
      <c r="DD31" s="98"/>
      <c r="DE31" s="98"/>
      <c r="DF31" s="98"/>
      <c r="DG31" s="98"/>
      <c r="DH31" s="98"/>
      <c r="DI31" s="98"/>
      <c r="DJ31" s="98"/>
      <c r="DK31" s="98"/>
      <c r="DL31" s="98"/>
      <c r="DM31" s="98"/>
      <c r="DN31" s="98"/>
      <c r="DO31" s="98"/>
      <c r="DP31" s="98"/>
      <c r="DQ31" s="98"/>
      <c r="DR31" s="98"/>
      <c r="DS31" s="98"/>
      <c r="DT31" s="98"/>
      <c r="DU31" s="98"/>
      <c r="DV31" s="98"/>
      <c r="DW31" s="98"/>
      <c r="DX31" s="98"/>
      <c r="DY31" s="98"/>
      <c r="DZ31" s="98"/>
      <c r="EA31" s="98"/>
      <c r="EB31" s="98"/>
    </row>
    <row r="32" spans="1:132" x14ac:dyDescent="0.2">
      <c r="A32" s="96"/>
      <c r="B32" s="94"/>
      <c r="C32" s="95"/>
      <c r="D32" s="97"/>
      <c r="E32" s="94"/>
      <c r="F32" s="94"/>
      <c r="G32" s="95"/>
      <c r="H32" s="95"/>
      <c r="I32" s="95"/>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c r="BG32" s="98"/>
      <c r="BH32" s="98"/>
      <c r="BI32" s="98"/>
      <c r="BJ32" s="98"/>
      <c r="BK32" s="98"/>
      <c r="BL32" s="98"/>
      <c r="BM32" s="98"/>
      <c r="BN32" s="98"/>
      <c r="BO32" s="98"/>
      <c r="BP32" s="98"/>
      <c r="BQ32" s="98"/>
      <c r="BR32" s="98"/>
      <c r="BS32" s="98"/>
      <c r="BT32" s="98"/>
      <c r="BU32" s="98"/>
      <c r="BV32" s="98"/>
      <c r="BW32" s="98"/>
      <c r="BX32" s="98"/>
      <c r="BY32" s="98"/>
      <c r="BZ32" s="98"/>
      <c r="CA32" s="98"/>
      <c r="CB32" s="98"/>
      <c r="CC32" s="98"/>
      <c r="CD32" s="98"/>
      <c r="CE32" s="98"/>
      <c r="CF32" s="98"/>
      <c r="CG32" s="98"/>
      <c r="CH32" s="98"/>
      <c r="CI32" s="98"/>
      <c r="CJ32" s="98"/>
      <c r="CK32" s="98"/>
      <c r="CL32" s="98"/>
      <c r="CM32" s="98"/>
      <c r="CN32" s="98"/>
      <c r="CO32" s="98"/>
      <c r="CP32" s="98"/>
      <c r="CQ32" s="98"/>
      <c r="CR32" s="98"/>
      <c r="CS32" s="98"/>
      <c r="CT32" s="98"/>
      <c r="CU32" s="98"/>
      <c r="CV32" s="98"/>
      <c r="CW32" s="98"/>
      <c r="CX32" s="98"/>
      <c r="CY32" s="98"/>
      <c r="CZ32" s="98"/>
      <c r="DA32" s="98"/>
      <c r="DB32" s="98"/>
      <c r="DC32" s="98"/>
      <c r="DD32" s="98"/>
      <c r="DE32" s="98"/>
      <c r="DF32" s="98"/>
      <c r="DG32" s="98"/>
      <c r="DH32" s="98"/>
      <c r="DI32" s="98"/>
      <c r="DJ32" s="98"/>
      <c r="DK32" s="98"/>
      <c r="DL32" s="98"/>
      <c r="DM32" s="98"/>
      <c r="DN32" s="98"/>
      <c r="DO32" s="98"/>
      <c r="DP32" s="98"/>
      <c r="DQ32" s="98"/>
      <c r="DR32" s="98"/>
      <c r="DS32" s="98"/>
      <c r="DT32" s="98"/>
      <c r="DU32" s="98"/>
      <c r="DV32" s="98"/>
      <c r="DW32" s="98"/>
      <c r="DX32" s="98"/>
      <c r="DY32" s="98"/>
      <c r="DZ32" s="98"/>
      <c r="EA32" s="98"/>
      <c r="EB32" s="98"/>
    </row>
    <row r="33" spans="1:132" x14ac:dyDescent="0.2">
      <c r="A33" s="96"/>
      <c r="B33" s="94"/>
      <c r="C33" s="95"/>
      <c r="D33" s="97"/>
      <c r="E33" s="94"/>
      <c r="F33" s="94"/>
      <c r="G33" s="95"/>
      <c r="H33" s="95"/>
      <c r="I33" s="95"/>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c r="BG33" s="98"/>
      <c r="BH33" s="98"/>
      <c r="BI33" s="98"/>
      <c r="BJ33" s="98"/>
      <c r="BK33" s="98"/>
      <c r="BL33" s="98"/>
      <c r="BM33" s="98"/>
      <c r="BN33" s="98"/>
      <c r="BO33" s="98"/>
      <c r="BP33" s="98"/>
      <c r="BQ33" s="98"/>
      <c r="BR33" s="98"/>
      <c r="BS33" s="98"/>
      <c r="BT33" s="98"/>
      <c r="BU33" s="98"/>
      <c r="BV33" s="98"/>
      <c r="BW33" s="98"/>
      <c r="BX33" s="98"/>
      <c r="BY33" s="98"/>
      <c r="BZ33" s="98"/>
      <c r="CA33" s="98"/>
      <c r="CB33" s="98"/>
      <c r="CC33" s="98"/>
      <c r="CD33" s="98"/>
      <c r="CE33" s="98"/>
      <c r="CF33" s="98"/>
      <c r="CG33" s="98"/>
      <c r="CH33" s="98"/>
      <c r="CI33" s="98"/>
      <c r="CJ33" s="98"/>
      <c r="CK33" s="98"/>
      <c r="CL33" s="98"/>
      <c r="CM33" s="98"/>
      <c r="CN33" s="98"/>
      <c r="CO33" s="98"/>
      <c r="CP33" s="98"/>
      <c r="CQ33" s="98"/>
      <c r="CR33" s="98"/>
      <c r="CS33" s="98"/>
      <c r="CT33" s="98"/>
      <c r="CU33" s="98"/>
      <c r="CV33" s="98"/>
      <c r="CW33" s="98"/>
      <c r="CX33" s="98"/>
      <c r="CY33" s="98"/>
      <c r="CZ33" s="98"/>
      <c r="DA33" s="98"/>
      <c r="DB33" s="98"/>
      <c r="DC33" s="98"/>
      <c r="DD33" s="98"/>
      <c r="DE33" s="98"/>
      <c r="DF33" s="98"/>
      <c r="DG33" s="98"/>
      <c r="DH33" s="98"/>
      <c r="DI33" s="98"/>
      <c r="DJ33" s="98"/>
      <c r="DK33" s="98"/>
      <c r="DL33" s="98"/>
      <c r="DM33" s="98"/>
      <c r="DN33" s="98"/>
      <c r="DO33" s="98"/>
      <c r="DP33" s="98"/>
      <c r="DQ33" s="98"/>
      <c r="DR33" s="98"/>
      <c r="DS33" s="98"/>
      <c r="DT33" s="98"/>
      <c r="DU33" s="98"/>
      <c r="DV33" s="98"/>
      <c r="DW33" s="98"/>
      <c r="DX33" s="98"/>
      <c r="DY33" s="98"/>
      <c r="DZ33" s="98"/>
      <c r="EA33" s="98"/>
      <c r="EB33" s="98"/>
    </row>
    <row r="34" spans="1:132" x14ac:dyDescent="0.2">
      <c r="A34" s="96"/>
      <c r="B34" s="94"/>
      <c r="C34" s="95"/>
      <c r="D34" s="97"/>
      <c r="E34" s="94"/>
      <c r="F34" s="94"/>
      <c r="G34" s="95"/>
      <c r="H34" s="95"/>
      <c r="I34" s="95"/>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c r="BD34" s="98"/>
      <c r="BE34" s="98"/>
      <c r="BF34" s="98"/>
      <c r="BG34" s="98"/>
      <c r="BH34" s="98"/>
      <c r="BI34" s="98"/>
      <c r="BJ34" s="98"/>
      <c r="BK34" s="98"/>
      <c r="BL34" s="98"/>
      <c r="BM34" s="98"/>
      <c r="BN34" s="98"/>
      <c r="BO34" s="98"/>
      <c r="BP34" s="98"/>
      <c r="BQ34" s="98"/>
      <c r="BR34" s="98"/>
      <c r="BS34" s="98"/>
      <c r="BT34" s="98"/>
      <c r="BU34" s="98"/>
      <c r="BV34" s="98"/>
      <c r="BW34" s="98"/>
      <c r="BX34" s="98"/>
      <c r="BY34" s="98"/>
      <c r="BZ34" s="98"/>
      <c r="CA34" s="98"/>
      <c r="CB34" s="98"/>
      <c r="CC34" s="98"/>
      <c r="CD34" s="98"/>
      <c r="CE34" s="98"/>
      <c r="CF34" s="98"/>
      <c r="CG34" s="98"/>
      <c r="CH34" s="98"/>
      <c r="CI34" s="98"/>
      <c r="CJ34" s="98"/>
      <c r="CK34" s="98"/>
      <c r="CL34" s="98"/>
      <c r="CM34" s="98"/>
      <c r="CN34" s="98"/>
      <c r="CO34" s="98"/>
      <c r="CP34" s="98"/>
      <c r="CQ34" s="98"/>
      <c r="CR34" s="98"/>
      <c r="CS34" s="98"/>
      <c r="CT34" s="98"/>
      <c r="CU34" s="98"/>
      <c r="CV34" s="98"/>
      <c r="CW34" s="98"/>
      <c r="CX34" s="98"/>
      <c r="CY34" s="98"/>
      <c r="CZ34" s="98"/>
      <c r="DA34" s="98"/>
      <c r="DB34" s="98"/>
      <c r="DC34" s="98"/>
      <c r="DD34" s="98"/>
      <c r="DE34" s="98"/>
      <c r="DF34" s="98"/>
      <c r="DG34" s="98"/>
      <c r="DH34" s="98"/>
      <c r="DI34" s="98"/>
      <c r="DJ34" s="98"/>
      <c r="DK34" s="98"/>
      <c r="DL34" s="98"/>
      <c r="DM34" s="98"/>
      <c r="DN34" s="98"/>
      <c r="DO34" s="98"/>
      <c r="DP34" s="98"/>
      <c r="DQ34" s="98"/>
      <c r="DR34" s="98"/>
      <c r="DS34" s="98"/>
      <c r="DT34" s="98"/>
      <c r="DU34" s="98"/>
      <c r="DV34" s="98"/>
      <c r="DW34" s="98"/>
      <c r="DX34" s="98"/>
      <c r="DY34" s="98"/>
      <c r="DZ34" s="98"/>
      <c r="EA34" s="98"/>
      <c r="EB34" s="98"/>
    </row>
    <row r="35" spans="1:132" x14ac:dyDescent="0.2">
      <c r="A35" s="96"/>
      <c r="B35" s="94"/>
      <c r="C35" s="95"/>
      <c r="D35" s="97"/>
      <c r="E35" s="94"/>
      <c r="F35" s="94"/>
      <c r="G35" s="95"/>
      <c r="H35" s="95"/>
      <c r="I35" s="95"/>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c r="BG35" s="98"/>
      <c r="BH35" s="98"/>
      <c r="BI35" s="98"/>
      <c r="BJ35" s="98"/>
      <c r="BK35" s="98"/>
      <c r="BL35" s="98"/>
      <c r="BM35" s="98"/>
      <c r="BN35" s="98"/>
      <c r="BO35" s="98"/>
      <c r="BP35" s="98"/>
      <c r="BQ35" s="98"/>
      <c r="BR35" s="98"/>
      <c r="BS35" s="98"/>
      <c r="BT35" s="98"/>
      <c r="BU35" s="98"/>
      <c r="BV35" s="98"/>
      <c r="BW35" s="98"/>
      <c r="BX35" s="98"/>
      <c r="BY35" s="98"/>
      <c r="BZ35" s="98"/>
      <c r="CA35" s="98"/>
      <c r="CB35" s="98"/>
      <c r="CC35" s="98"/>
      <c r="CD35" s="98"/>
      <c r="CE35" s="98"/>
      <c r="CF35" s="98"/>
      <c r="CG35" s="98"/>
      <c r="CH35" s="98"/>
      <c r="CI35" s="98"/>
      <c r="CJ35" s="98"/>
      <c r="CK35" s="98"/>
      <c r="CL35" s="98"/>
      <c r="CM35" s="98"/>
      <c r="CN35" s="98"/>
      <c r="CO35" s="98"/>
      <c r="CP35" s="98"/>
      <c r="CQ35" s="98"/>
      <c r="CR35" s="98"/>
      <c r="CS35" s="98"/>
      <c r="CT35" s="98"/>
      <c r="CU35" s="98"/>
      <c r="CV35" s="98"/>
      <c r="CW35" s="98"/>
      <c r="CX35" s="98"/>
      <c r="CY35" s="98"/>
      <c r="CZ35" s="98"/>
      <c r="DA35" s="98"/>
      <c r="DB35" s="98"/>
      <c r="DC35" s="98"/>
      <c r="DD35" s="98"/>
      <c r="DE35" s="98"/>
      <c r="DF35" s="98"/>
      <c r="DG35" s="98"/>
      <c r="DH35" s="98"/>
      <c r="DI35" s="98"/>
      <c r="DJ35" s="98"/>
      <c r="DK35" s="98"/>
      <c r="DL35" s="98"/>
      <c r="DM35" s="98"/>
      <c r="DN35" s="98"/>
      <c r="DO35" s="98"/>
      <c r="DP35" s="98"/>
      <c r="DQ35" s="98"/>
      <c r="DR35" s="98"/>
      <c r="DS35" s="98"/>
      <c r="DT35" s="98"/>
      <c r="DU35" s="98"/>
      <c r="DV35" s="98"/>
      <c r="DW35" s="98"/>
      <c r="DX35" s="98"/>
      <c r="DY35" s="98"/>
      <c r="DZ35" s="98"/>
      <c r="EA35" s="98"/>
      <c r="EB35" s="98"/>
    </row>
    <row r="36" spans="1:132" x14ac:dyDescent="0.2">
      <c r="A36" s="96"/>
      <c r="B36" s="94"/>
      <c r="C36" s="95"/>
      <c r="D36" s="97"/>
      <c r="E36" s="94"/>
      <c r="F36" s="94"/>
      <c r="G36" s="95"/>
      <c r="H36" s="95"/>
      <c r="I36" s="95"/>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c r="BD36" s="98"/>
      <c r="BE36" s="98"/>
      <c r="BF36" s="98"/>
      <c r="BG36" s="98"/>
      <c r="BH36" s="98"/>
      <c r="BI36" s="98"/>
      <c r="BJ36" s="98"/>
      <c r="BK36" s="98"/>
      <c r="BL36" s="98"/>
      <c r="BM36" s="98"/>
      <c r="BN36" s="98"/>
      <c r="BO36" s="98"/>
      <c r="BP36" s="98"/>
      <c r="BQ36" s="98"/>
      <c r="BR36" s="98"/>
      <c r="BS36" s="98"/>
      <c r="BT36" s="98"/>
      <c r="BU36" s="98"/>
      <c r="BV36" s="98"/>
      <c r="BW36" s="98"/>
      <c r="BX36" s="98"/>
      <c r="BY36" s="98"/>
      <c r="BZ36" s="98"/>
      <c r="CA36" s="98"/>
      <c r="CB36" s="98"/>
      <c r="CC36" s="98"/>
      <c r="CD36" s="98"/>
      <c r="CE36" s="98"/>
      <c r="CF36" s="98"/>
      <c r="CG36" s="98"/>
      <c r="CH36" s="98"/>
      <c r="CI36" s="98"/>
      <c r="CJ36" s="98"/>
      <c r="CK36" s="98"/>
      <c r="CL36" s="98"/>
      <c r="CM36" s="98"/>
      <c r="CN36" s="98"/>
      <c r="CO36" s="98"/>
      <c r="CP36" s="98"/>
      <c r="CQ36" s="98"/>
      <c r="CR36" s="98"/>
      <c r="CS36" s="98"/>
      <c r="CT36" s="98"/>
      <c r="CU36" s="98"/>
      <c r="CV36" s="98"/>
      <c r="CW36" s="98"/>
      <c r="CX36" s="98"/>
      <c r="CY36" s="98"/>
      <c r="CZ36" s="98"/>
      <c r="DA36" s="98"/>
      <c r="DB36" s="98"/>
      <c r="DC36" s="98"/>
      <c r="DD36" s="98"/>
      <c r="DE36" s="98"/>
      <c r="DF36" s="98"/>
      <c r="DG36" s="98"/>
      <c r="DH36" s="98"/>
      <c r="DI36" s="98"/>
      <c r="DJ36" s="98"/>
      <c r="DK36" s="98"/>
      <c r="DL36" s="98"/>
      <c r="DM36" s="98"/>
      <c r="DN36" s="98"/>
      <c r="DO36" s="98"/>
      <c r="DP36" s="98"/>
      <c r="DQ36" s="98"/>
      <c r="DR36" s="98"/>
      <c r="DS36" s="98"/>
      <c r="DT36" s="98"/>
      <c r="DU36" s="98"/>
      <c r="DV36" s="98"/>
      <c r="DW36" s="98"/>
      <c r="DX36" s="98"/>
      <c r="DY36" s="98"/>
      <c r="DZ36" s="98"/>
      <c r="EA36" s="98"/>
      <c r="EB36" s="98"/>
    </row>
    <row r="37" spans="1:132" x14ac:dyDescent="0.2">
      <c r="A37" s="96"/>
      <c r="B37" s="94"/>
      <c r="C37" s="95"/>
      <c r="D37" s="97"/>
      <c r="E37" s="94"/>
      <c r="F37" s="94"/>
      <c r="G37" s="95"/>
      <c r="H37" s="95"/>
      <c r="I37" s="95"/>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98"/>
      <c r="BJ37" s="98"/>
      <c r="BK37" s="98"/>
      <c r="BL37" s="98"/>
      <c r="BM37" s="98"/>
      <c r="BN37" s="98"/>
      <c r="BO37" s="98"/>
      <c r="BP37" s="98"/>
      <c r="BQ37" s="98"/>
      <c r="BR37" s="98"/>
      <c r="BS37" s="98"/>
      <c r="BT37" s="98"/>
      <c r="BU37" s="98"/>
      <c r="BV37" s="98"/>
      <c r="BW37" s="98"/>
      <c r="BX37" s="98"/>
      <c r="BY37" s="98"/>
      <c r="BZ37" s="98"/>
      <c r="CA37" s="98"/>
      <c r="CB37" s="98"/>
      <c r="CC37" s="98"/>
      <c r="CD37" s="98"/>
      <c r="CE37" s="98"/>
      <c r="CF37" s="98"/>
      <c r="CG37" s="98"/>
      <c r="CH37" s="98"/>
      <c r="CI37" s="98"/>
      <c r="CJ37" s="98"/>
      <c r="CK37" s="98"/>
      <c r="CL37" s="98"/>
      <c r="CM37" s="98"/>
      <c r="CN37" s="98"/>
      <c r="CO37" s="98"/>
      <c r="CP37" s="98"/>
      <c r="CQ37" s="98"/>
      <c r="CR37" s="98"/>
      <c r="CS37" s="98"/>
      <c r="CT37" s="98"/>
      <c r="CU37" s="98"/>
      <c r="CV37" s="98"/>
      <c r="CW37" s="98"/>
      <c r="CX37" s="98"/>
      <c r="CY37" s="98"/>
      <c r="CZ37" s="98"/>
      <c r="DA37" s="98"/>
      <c r="DB37" s="98"/>
      <c r="DC37" s="98"/>
      <c r="DD37" s="98"/>
      <c r="DE37" s="98"/>
      <c r="DF37" s="98"/>
      <c r="DG37" s="98"/>
      <c r="DH37" s="98"/>
      <c r="DI37" s="98"/>
      <c r="DJ37" s="98"/>
      <c r="DK37" s="98"/>
      <c r="DL37" s="98"/>
      <c r="DM37" s="98"/>
      <c r="DN37" s="98"/>
      <c r="DO37" s="98"/>
      <c r="DP37" s="98"/>
      <c r="DQ37" s="98"/>
      <c r="DR37" s="98"/>
      <c r="DS37" s="98"/>
      <c r="DT37" s="98"/>
      <c r="DU37" s="98"/>
      <c r="DV37" s="98"/>
      <c r="DW37" s="98"/>
      <c r="DX37" s="98"/>
      <c r="DY37" s="98"/>
      <c r="DZ37" s="98"/>
      <c r="EA37" s="98"/>
      <c r="EB37" s="98"/>
    </row>
    <row r="38" spans="1:132" x14ac:dyDescent="0.2">
      <c r="A38" s="96"/>
      <c r="B38" s="94"/>
      <c r="C38" s="95"/>
      <c r="D38" s="97"/>
      <c r="E38" s="94"/>
      <c r="F38" s="94"/>
      <c r="G38" s="95"/>
      <c r="H38" s="95"/>
      <c r="I38" s="95"/>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98"/>
      <c r="BJ38" s="98"/>
      <c r="BK38" s="98"/>
      <c r="BL38" s="98"/>
      <c r="BM38" s="98"/>
      <c r="BN38" s="98"/>
      <c r="BO38" s="98"/>
      <c r="BP38" s="98"/>
      <c r="BQ38" s="98"/>
      <c r="BR38" s="98"/>
      <c r="BS38" s="98"/>
      <c r="BT38" s="98"/>
      <c r="BU38" s="98"/>
      <c r="BV38" s="98"/>
      <c r="BW38" s="98"/>
      <c r="BX38" s="98"/>
      <c r="BY38" s="98"/>
      <c r="BZ38" s="98"/>
      <c r="CA38" s="98"/>
      <c r="CB38" s="98"/>
      <c r="CC38" s="98"/>
      <c r="CD38" s="98"/>
      <c r="CE38" s="98"/>
      <c r="CF38" s="98"/>
      <c r="CG38" s="98"/>
      <c r="CH38" s="98"/>
      <c r="CI38" s="98"/>
      <c r="CJ38" s="98"/>
      <c r="CK38" s="98"/>
      <c r="CL38" s="98"/>
      <c r="CM38" s="98"/>
      <c r="CN38" s="98"/>
      <c r="CO38" s="98"/>
      <c r="CP38" s="98"/>
      <c r="CQ38" s="98"/>
      <c r="CR38" s="98"/>
      <c r="CS38" s="98"/>
      <c r="CT38" s="98"/>
      <c r="CU38" s="98"/>
      <c r="CV38" s="98"/>
      <c r="CW38" s="98"/>
      <c r="CX38" s="98"/>
      <c r="CY38" s="98"/>
      <c r="CZ38" s="98"/>
      <c r="DA38" s="98"/>
      <c r="DB38" s="98"/>
      <c r="DC38" s="98"/>
      <c r="DD38" s="98"/>
      <c r="DE38" s="98"/>
      <c r="DF38" s="98"/>
      <c r="DG38" s="98"/>
      <c r="DH38" s="98"/>
      <c r="DI38" s="98"/>
      <c r="DJ38" s="98"/>
      <c r="DK38" s="98"/>
      <c r="DL38" s="98"/>
      <c r="DM38" s="98"/>
      <c r="DN38" s="98"/>
      <c r="DO38" s="98"/>
      <c r="DP38" s="98"/>
      <c r="DQ38" s="98"/>
      <c r="DR38" s="98"/>
      <c r="DS38" s="98"/>
      <c r="DT38" s="98"/>
      <c r="DU38" s="98"/>
      <c r="DV38" s="98"/>
      <c r="DW38" s="98"/>
      <c r="DX38" s="98"/>
      <c r="DY38" s="98"/>
      <c r="DZ38" s="98"/>
      <c r="EA38" s="98"/>
      <c r="EB38" s="98"/>
    </row>
    <row r="39" spans="1:132" x14ac:dyDescent="0.2">
      <c r="A39" s="96"/>
      <c r="B39" s="94"/>
      <c r="C39" s="95"/>
      <c r="D39" s="97"/>
      <c r="E39" s="94"/>
      <c r="F39" s="94"/>
      <c r="G39" s="95"/>
      <c r="H39" s="95"/>
      <c r="I39" s="95"/>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c r="BS39" s="98"/>
      <c r="BT39" s="98"/>
      <c r="BU39" s="98"/>
      <c r="BV39" s="98"/>
      <c r="BW39" s="98"/>
      <c r="BX39" s="98"/>
      <c r="BY39" s="98"/>
      <c r="BZ39" s="98"/>
      <c r="CA39" s="98"/>
      <c r="CB39" s="98"/>
      <c r="CC39" s="98"/>
      <c r="CD39" s="98"/>
      <c r="CE39" s="98"/>
      <c r="CF39" s="98"/>
      <c r="CG39" s="98"/>
      <c r="CH39" s="98"/>
      <c r="CI39" s="98"/>
      <c r="CJ39" s="98"/>
      <c r="CK39" s="98"/>
      <c r="CL39" s="98"/>
      <c r="CM39" s="98"/>
      <c r="CN39" s="98"/>
      <c r="CO39" s="98"/>
      <c r="CP39" s="98"/>
      <c r="CQ39" s="98"/>
      <c r="CR39" s="98"/>
      <c r="CS39" s="98"/>
      <c r="CT39" s="98"/>
      <c r="CU39" s="98"/>
      <c r="CV39" s="98"/>
      <c r="CW39" s="98"/>
      <c r="CX39" s="98"/>
      <c r="CY39" s="98"/>
      <c r="CZ39" s="98"/>
      <c r="DA39" s="98"/>
      <c r="DB39" s="98"/>
      <c r="DC39" s="98"/>
      <c r="DD39" s="98"/>
      <c r="DE39" s="98"/>
      <c r="DF39" s="98"/>
      <c r="DG39" s="98"/>
      <c r="DH39" s="98"/>
      <c r="DI39" s="98"/>
      <c r="DJ39" s="98"/>
      <c r="DK39" s="98"/>
      <c r="DL39" s="98"/>
      <c r="DM39" s="98"/>
      <c r="DN39" s="98"/>
      <c r="DO39" s="98"/>
      <c r="DP39" s="98"/>
      <c r="DQ39" s="98"/>
      <c r="DR39" s="98"/>
      <c r="DS39" s="98"/>
      <c r="DT39" s="98"/>
      <c r="DU39" s="98"/>
      <c r="DV39" s="98"/>
      <c r="DW39" s="98"/>
      <c r="DX39" s="98"/>
      <c r="DY39" s="98"/>
      <c r="DZ39" s="98"/>
      <c r="EA39" s="98"/>
      <c r="EB39" s="98"/>
    </row>
    <row r="40" spans="1:132" x14ac:dyDescent="0.2">
      <c r="A40" s="96"/>
      <c r="B40" s="94"/>
      <c r="C40" s="95"/>
      <c r="D40" s="97"/>
      <c r="E40" s="94"/>
      <c r="F40" s="94"/>
      <c r="G40" s="95"/>
      <c r="H40" s="95"/>
      <c r="I40" s="95"/>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98"/>
      <c r="BJ40" s="98"/>
      <c r="BK40" s="98"/>
      <c r="BL40" s="98"/>
      <c r="BM40" s="98"/>
      <c r="BN40" s="98"/>
      <c r="BO40" s="98"/>
      <c r="BP40" s="98"/>
      <c r="BQ40" s="98"/>
      <c r="BR40" s="98"/>
      <c r="BS40" s="98"/>
      <c r="BT40" s="98"/>
      <c r="BU40" s="98"/>
      <c r="BV40" s="98"/>
      <c r="BW40" s="98"/>
      <c r="BX40" s="98"/>
      <c r="BY40" s="98"/>
      <c r="BZ40" s="98"/>
      <c r="CA40" s="98"/>
      <c r="CB40" s="98"/>
      <c r="CC40" s="98"/>
      <c r="CD40" s="98"/>
      <c r="CE40" s="98"/>
      <c r="CF40" s="98"/>
      <c r="CG40" s="98"/>
      <c r="CH40" s="98"/>
      <c r="CI40" s="98"/>
      <c r="CJ40" s="98"/>
      <c r="CK40" s="98"/>
      <c r="CL40" s="98"/>
      <c r="CM40" s="98"/>
      <c r="CN40" s="98"/>
      <c r="CO40" s="98"/>
      <c r="CP40" s="98"/>
      <c r="CQ40" s="98"/>
      <c r="CR40" s="98"/>
      <c r="CS40" s="98"/>
      <c r="CT40" s="98"/>
      <c r="CU40" s="98"/>
      <c r="CV40" s="98"/>
      <c r="CW40" s="98"/>
      <c r="CX40" s="98"/>
      <c r="CY40" s="98"/>
      <c r="CZ40" s="98"/>
      <c r="DA40" s="98"/>
      <c r="DB40" s="98"/>
      <c r="DC40" s="98"/>
      <c r="DD40" s="98"/>
      <c r="DE40" s="98"/>
      <c r="DF40" s="98"/>
      <c r="DG40" s="98"/>
      <c r="DH40" s="98"/>
      <c r="DI40" s="98"/>
      <c r="DJ40" s="98"/>
      <c r="DK40" s="98"/>
      <c r="DL40" s="98"/>
      <c r="DM40" s="98"/>
      <c r="DN40" s="98"/>
      <c r="DO40" s="98"/>
      <c r="DP40" s="98"/>
      <c r="DQ40" s="98"/>
      <c r="DR40" s="98"/>
      <c r="DS40" s="98"/>
      <c r="DT40" s="98"/>
      <c r="DU40" s="98"/>
      <c r="DV40" s="98"/>
      <c r="DW40" s="98"/>
      <c r="DX40" s="98"/>
      <c r="DY40" s="98"/>
      <c r="DZ40" s="98"/>
      <c r="EA40" s="98"/>
      <c r="EB40" s="98"/>
    </row>
    <row r="41" spans="1:132" x14ac:dyDescent="0.2">
      <c r="A41" s="96"/>
      <c r="B41" s="94"/>
      <c r="C41" s="95"/>
      <c r="D41" s="97"/>
      <c r="E41" s="94"/>
      <c r="F41" s="94"/>
      <c r="G41" s="95"/>
      <c r="H41" s="95"/>
      <c r="I41" s="95"/>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98"/>
      <c r="BJ41" s="98"/>
      <c r="BK41" s="98"/>
      <c r="BL41" s="98"/>
      <c r="BM41" s="98"/>
      <c r="BN41" s="98"/>
      <c r="BO41" s="98"/>
      <c r="BP41" s="98"/>
      <c r="BQ41" s="98"/>
      <c r="BR41" s="98"/>
      <c r="BS41" s="98"/>
      <c r="BT41" s="98"/>
      <c r="BU41" s="98"/>
      <c r="BV41" s="98"/>
      <c r="BW41" s="98"/>
      <c r="BX41" s="98"/>
      <c r="BY41" s="98"/>
      <c r="BZ41" s="98"/>
      <c r="CA41" s="98"/>
      <c r="CB41" s="98"/>
      <c r="CC41" s="98"/>
      <c r="CD41" s="98"/>
      <c r="CE41" s="98"/>
      <c r="CF41" s="98"/>
      <c r="CG41" s="98"/>
      <c r="CH41" s="98"/>
      <c r="CI41" s="98"/>
      <c r="CJ41" s="98"/>
      <c r="CK41" s="98"/>
      <c r="CL41" s="98"/>
      <c r="CM41" s="98"/>
      <c r="CN41" s="98"/>
      <c r="CO41" s="98"/>
      <c r="CP41" s="98"/>
      <c r="CQ41" s="98"/>
      <c r="CR41" s="98"/>
      <c r="CS41" s="98"/>
      <c r="CT41" s="98"/>
      <c r="CU41" s="98"/>
      <c r="CV41" s="98"/>
      <c r="CW41" s="98"/>
      <c r="CX41" s="98"/>
      <c r="CY41" s="98"/>
      <c r="CZ41" s="98"/>
      <c r="DA41" s="98"/>
      <c r="DB41" s="98"/>
      <c r="DC41" s="98"/>
      <c r="DD41" s="98"/>
      <c r="DE41" s="98"/>
      <c r="DF41" s="98"/>
      <c r="DG41" s="98"/>
      <c r="DH41" s="98"/>
      <c r="DI41" s="98"/>
      <c r="DJ41" s="98"/>
      <c r="DK41" s="98"/>
      <c r="DL41" s="98"/>
      <c r="DM41" s="98"/>
      <c r="DN41" s="98"/>
      <c r="DO41" s="98"/>
      <c r="DP41" s="98"/>
      <c r="DQ41" s="98"/>
      <c r="DR41" s="98"/>
      <c r="DS41" s="98"/>
      <c r="DT41" s="98"/>
      <c r="DU41" s="98"/>
      <c r="DV41" s="98"/>
      <c r="DW41" s="98"/>
      <c r="DX41" s="98"/>
      <c r="DY41" s="98"/>
      <c r="DZ41" s="98"/>
      <c r="EA41" s="98"/>
      <c r="EB41" s="98"/>
    </row>
    <row r="42" spans="1:132" x14ac:dyDescent="0.2">
      <c r="A42" s="96"/>
      <c r="B42" s="94"/>
      <c r="C42" s="95"/>
      <c r="D42" s="97"/>
      <c r="E42" s="94"/>
      <c r="F42" s="94"/>
      <c r="G42" s="95"/>
      <c r="H42" s="95"/>
      <c r="I42" s="95"/>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98"/>
      <c r="BJ42" s="98"/>
      <c r="BK42" s="98"/>
      <c r="BL42" s="98"/>
      <c r="BM42" s="98"/>
      <c r="BN42" s="98"/>
      <c r="BO42" s="98"/>
      <c r="BP42" s="98"/>
      <c r="BQ42" s="98"/>
      <c r="BR42" s="98"/>
      <c r="BS42" s="98"/>
      <c r="BT42" s="98"/>
      <c r="BU42" s="98"/>
      <c r="BV42" s="98"/>
      <c r="BW42" s="98"/>
      <c r="BX42" s="98"/>
      <c r="BY42" s="98"/>
      <c r="BZ42" s="98"/>
      <c r="CA42" s="98"/>
      <c r="CB42" s="98"/>
      <c r="CC42" s="98"/>
      <c r="CD42" s="98"/>
      <c r="CE42" s="98"/>
      <c r="CF42" s="98"/>
      <c r="CG42" s="98"/>
      <c r="CH42" s="98"/>
      <c r="CI42" s="98"/>
      <c r="CJ42" s="98"/>
      <c r="CK42" s="98"/>
      <c r="CL42" s="98"/>
      <c r="CM42" s="98"/>
      <c r="CN42" s="98"/>
      <c r="CO42" s="98"/>
      <c r="CP42" s="98"/>
      <c r="CQ42" s="98"/>
      <c r="CR42" s="98"/>
      <c r="CS42" s="98"/>
      <c r="CT42" s="98"/>
      <c r="CU42" s="98"/>
      <c r="CV42" s="98"/>
      <c r="CW42" s="98"/>
      <c r="CX42" s="98"/>
      <c r="CY42" s="98"/>
      <c r="CZ42" s="98"/>
      <c r="DA42" s="98"/>
      <c r="DB42" s="98"/>
      <c r="DC42" s="98"/>
      <c r="DD42" s="98"/>
      <c r="DE42" s="98"/>
      <c r="DF42" s="98"/>
      <c r="DG42" s="98"/>
      <c r="DH42" s="98"/>
      <c r="DI42" s="98"/>
      <c r="DJ42" s="98"/>
      <c r="DK42" s="98"/>
      <c r="DL42" s="98"/>
      <c r="DM42" s="98"/>
      <c r="DN42" s="98"/>
      <c r="DO42" s="98"/>
      <c r="DP42" s="98"/>
      <c r="DQ42" s="98"/>
      <c r="DR42" s="98"/>
      <c r="DS42" s="98"/>
      <c r="DT42" s="98"/>
      <c r="DU42" s="98"/>
      <c r="DV42" s="98"/>
      <c r="DW42" s="98"/>
      <c r="DX42" s="98"/>
      <c r="DY42" s="98"/>
      <c r="DZ42" s="98"/>
      <c r="EA42" s="98"/>
      <c r="EB42" s="98"/>
    </row>
    <row r="43" spans="1:132" x14ac:dyDescent="0.2">
      <c r="A43" s="96"/>
      <c r="B43" s="94"/>
      <c r="C43" s="95"/>
      <c r="D43" s="97"/>
      <c r="E43" s="94"/>
      <c r="F43" s="94"/>
      <c r="G43" s="95"/>
      <c r="H43" s="95"/>
      <c r="I43" s="95"/>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98"/>
      <c r="BJ43" s="98"/>
      <c r="BK43" s="98"/>
      <c r="BL43" s="98"/>
      <c r="BM43" s="98"/>
      <c r="BN43" s="98"/>
      <c r="BO43" s="98"/>
      <c r="BP43" s="98"/>
      <c r="BQ43" s="98"/>
      <c r="BR43" s="98"/>
      <c r="BS43" s="98"/>
      <c r="BT43" s="98"/>
      <c r="BU43" s="98"/>
      <c r="BV43" s="98"/>
      <c r="BW43" s="98"/>
      <c r="BX43" s="98"/>
      <c r="BY43" s="98"/>
      <c r="BZ43" s="98"/>
      <c r="CA43" s="98"/>
      <c r="CB43" s="98"/>
      <c r="CC43" s="98"/>
      <c r="CD43" s="98"/>
      <c r="CE43" s="98"/>
      <c r="CF43" s="98"/>
      <c r="CG43" s="98"/>
      <c r="CH43" s="98"/>
      <c r="CI43" s="98"/>
      <c r="CJ43" s="98"/>
      <c r="CK43" s="98"/>
      <c r="CL43" s="98"/>
      <c r="CM43" s="98"/>
      <c r="CN43" s="98"/>
      <c r="CO43" s="98"/>
      <c r="CP43" s="98"/>
      <c r="CQ43" s="98"/>
      <c r="CR43" s="98"/>
      <c r="CS43" s="98"/>
      <c r="CT43" s="98"/>
      <c r="CU43" s="98"/>
      <c r="CV43" s="98"/>
      <c r="CW43" s="98"/>
      <c r="CX43" s="98"/>
      <c r="CY43" s="98"/>
      <c r="CZ43" s="98"/>
      <c r="DA43" s="98"/>
      <c r="DB43" s="98"/>
      <c r="DC43" s="98"/>
      <c r="DD43" s="98"/>
      <c r="DE43" s="98"/>
      <c r="DF43" s="98"/>
      <c r="DG43" s="98"/>
      <c r="DH43" s="98"/>
      <c r="DI43" s="98"/>
      <c r="DJ43" s="98"/>
      <c r="DK43" s="98"/>
      <c r="DL43" s="98"/>
      <c r="DM43" s="98"/>
      <c r="DN43" s="98"/>
      <c r="DO43" s="98"/>
      <c r="DP43" s="98"/>
      <c r="DQ43" s="98"/>
      <c r="DR43" s="98"/>
      <c r="DS43" s="98"/>
      <c r="DT43" s="98"/>
      <c r="DU43" s="98"/>
      <c r="DV43" s="98"/>
      <c r="DW43" s="98"/>
      <c r="DX43" s="98"/>
      <c r="DY43" s="98"/>
      <c r="DZ43" s="98"/>
      <c r="EA43" s="98"/>
      <c r="EB43" s="98"/>
    </row>
    <row r="44" spans="1:132" x14ac:dyDescent="0.2">
      <c r="A44" s="96"/>
      <c r="B44" s="94"/>
      <c r="C44" s="95"/>
      <c r="D44" s="97"/>
      <c r="E44" s="94"/>
      <c r="F44" s="94"/>
      <c r="G44" s="95"/>
      <c r="H44" s="95"/>
      <c r="I44" s="95"/>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98"/>
      <c r="BJ44" s="98"/>
      <c r="BK44" s="98"/>
      <c r="BL44" s="98"/>
      <c r="BM44" s="98"/>
      <c r="BN44" s="98"/>
      <c r="BO44" s="98"/>
      <c r="BP44" s="98"/>
      <c r="BQ44" s="98"/>
      <c r="BR44" s="98"/>
      <c r="BS44" s="98"/>
      <c r="BT44" s="98"/>
      <c r="BU44" s="98"/>
      <c r="BV44" s="98"/>
      <c r="BW44" s="98"/>
      <c r="BX44" s="98"/>
      <c r="BY44" s="98"/>
      <c r="BZ44" s="98"/>
      <c r="CA44" s="98"/>
      <c r="CB44" s="98"/>
      <c r="CC44" s="98"/>
      <c r="CD44" s="98"/>
      <c r="CE44" s="98"/>
      <c r="CF44" s="98"/>
      <c r="CG44" s="98"/>
      <c r="CH44" s="98"/>
      <c r="CI44" s="98"/>
      <c r="CJ44" s="98"/>
      <c r="CK44" s="98"/>
      <c r="CL44" s="98"/>
      <c r="CM44" s="98"/>
      <c r="CN44" s="98"/>
      <c r="CO44" s="98"/>
      <c r="CP44" s="98"/>
      <c r="CQ44" s="98"/>
      <c r="CR44" s="98"/>
      <c r="CS44" s="98"/>
      <c r="CT44" s="98"/>
      <c r="CU44" s="98"/>
      <c r="CV44" s="98"/>
      <c r="CW44" s="98"/>
      <c r="CX44" s="98"/>
      <c r="CY44" s="98"/>
      <c r="CZ44" s="98"/>
      <c r="DA44" s="98"/>
      <c r="DB44" s="98"/>
      <c r="DC44" s="98"/>
      <c r="DD44" s="98"/>
      <c r="DE44" s="98"/>
      <c r="DF44" s="98"/>
      <c r="DG44" s="98"/>
      <c r="DH44" s="98"/>
      <c r="DI44" s="98"/>
      <c r="DJ44" s="98"/>
      <c r="DK44" s="98"/>
      <c r="DL44" s="98"/>
      <c r="DM44" s="98"/>
      <c r="DN44" s="98"/>
      <c r="DO44" s="98"/>
      <c r="DP44" s="98"/>
      <c r="DQ44" s="98"/>
      <c r="DR44" s="98"/>
      <c r="DS44" s="98"/>
      <c r="DT44" s="98"/>
      <c r="DU44" s="98"/>
      <c r="DV44" s="98"/>
      <c r="DW44" s="98"/>
      <c r="DX44" s="98"/>
      <c r="DY44" s="98"/>
      <c r="DZ44" s="98"/>
      <c r="EA44" s="98"/>
      <c r="EB44" s="98"/>
    </row>
    <row r="45" spans="1:132" x14ac:dyDescent="0.2">
      <c r="A45" s="96"/>
      <c r="B45" s="94"/>
      <c r="C45" s="95"/>
      <c r="D45" s="97"/>
      <c r="E45" s="94"/>
      <c r="F45" s="94"/>
      <c r="G45" s="95"/>
      <c r="H45" s="95"/>
      <c r="I45" s="95"/>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98"/>
      <c r="BJ45" s="98"/>
      <c r="BK45" s="98"/>
      <c r="BL45" s="98"/>
      <c r="BM45" s="98"/>
      <c r="BN45" s="98"/>
      <c r="BO45" s="98"/>
      <c r="BP45" s="98"/>
      <c r="BQ45" s="98"/>
      <c r="BR45" s="98"/>
      <c r="BS45" s="98"/>
      <c r="BT45" s="98"/>
      <c r="BU45" s="98"/>
      <c r="BV45" s="98"/>
      <c r="BW45" s="98"/>
      <c r="BX45" s="98"/>
      <c r="BY45" s="98"/>
      <c r="BZ45" s="98"/>
      <c r="CA45" s="98"/>
      <c r="CB45" s="98"/>
      <c r="CC45" s="98"/>
      <c r="CD45" s="98"/>
      <c r="CE45" s="98"/>
      <c r="CF45" s="98"/>
      <c r="CG45" s="98"/>
      <c r="CH45" s="98"/>
      <c r="CI45" s="98"/>
      <c r="CJ45" s="98"/>
      <c r="CK45" s="98"/>
      <c r="CL45" s="98"/>
      <c r="CM45" s="98"/>
      <c r="CN45" s="98"/>
      <c r="CO45" s="98"/>
      <c r="CP45" s="98"/>
      <c r="CQ45" s="98"/>
      <c r="CR45" s="98"/>
      <c r="CS45" s="98"/>
      <c r="CT45" s="98"/>
      <c r="CU45" s="98"/>
      <c r="CV45" s="98"/>
      <c r="CW45" s="98"/>
      <c r="CX45" s="98"/>
      <c r="CY45" s="98"/>
      <c r="CZ45" s="98"/>
      <c r="DA45" s="98"/>
      <c r="DB45" s="98"/>
      <c r="DC45" s="98"/>
      <c r="DD45" s="98"/>
      <c r="DE45" s="98"/>
      <c r="DF45" s="98"/>
      <c r="DG45" s="98"/>
      <c r="DH45" s="98"/>
      <c r="DI45" s="98"/>
      <c r="DJ45" s="98"/>
      <c r="DK45" s="98"/>
      <c r="DL45" s="98"/>
      <c r="DM45" s="98"/>
      <c r="DN45" s="98"/>
      <c r="DO45" s="98"/>
      <c r="DP45" s="98"/>
      <c r="DQ45" s="98"/>
      <c r="DR45" s="98"/>
      <c r="DS45" s="98"/>
      <c r="DT45" s="98"/>
      <c r="DU45" s="98"/>
      <c r="DV45" s="98"/>
      <c r="DW45" s="98"/>
      <c r="DX45" s="98"/>
      <c r="DY45" s="98"/>
      <c r="DZ45" s="98"/>
      <c r="EA45" s="98"/>
      <c r="EB45" s="98"/>
    </row>
    <row r="46" spans="1:132" x14ac:dyDescent="0.2">
      <c r="A46" s="96"/>
      <c r="B46" s="94"/>
      <c r="C46" s="95"/>
      <c r="D46" s="97"/>
      <c r="E46" s="94"/>
      <c r="F46" s="94"/>
      <c r="G46" s="95"/>
      <c r="H46" s="95"/>
      <c r="I46" s="95"/>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98"/>
      <c r="BJ46" s="98"/>
      <c r="BK46" s="98"/>
      <c r="BL46" s="98"/>
      <c r="BM46" s="98"/>
      <c r="BN46" s="98"/>
      <c r="BO46" s="98"/>
      <c r="BP46" s="98"/>
      <c r="BQ46" s="98"/>
      <c r="BR46" s="98"/>
      <c r="BS46" s="98"/>
      <c r="BT46" s="98"/>
      <c r="BU46" s="98"/>
      <c r="BV46" s="98"/>
      <c r="BW46" s="98"/>
      <c r="BX46" s="98"/>
      <c r="BY46" s="98"/>
      <c r="BZ46" s="98"/>
      <c r="CA46" s="98"/>
      <c r="CB46" s="98"/>
      <c r="CC46" s="98"/>
      <c r="CD46" s="98"/>
      <c r="CE46" s="98"/>
      <c r="CF46" s="98"/>
      <c r="CG46" s="98"/>
      <c r="CH46" s="98"/>
      <c r="CI46" s="98"/>
      <c r="CJ46" s="98"/>
      <c r="CK46" s="98"/>
      <c r="CL46" s="98"/>
      <c r="CM46" s="98"/>
      <c r="CN46" s="98"/>
      <c r="CO46" s="98"/>
      <c r="CP46" s="98"/>
      <c r="CQ46" s="98"/>
      <c r="CR46" s="98"/>
      <c r="CS46" s="98"/>
      <c r="CT46" s="98"/>
      <c r="CU46" s="98"/>
      <c r="CV46" s="98"/>
      <c r="CW46" s="98"/>
      <c r="CX46" s="98"/>
      <c r="CY46" s="98"/>
      <c r="CZ46" s="98"/>
      <c r="DA46" s="98"/>
      <c r="DB46" s="98"/>
      <c r="DC46" s="98"/>
      <c r="DD46" s="98"/>
      <c r="DE46" s="98"/>
      <c r="DF46" s="98"/>
      <c r="DG46" s="98"/>
      <c r="DH46" s="98"/>
      <c r="DI46" s="98"/>
      <c r="DJ46" s="98"/>
      <c r="DK46" s="98"/>
      <c r="DL46" s="98"/>
      <c r="DM46" s="98"/>
      <c r="DN46" s="98"/>
      <c r="DO46" s="98"/>
      <c r="DP46" s="98"/>
      <c r="DQ46" s="98"/>
      <c r="DR46" s="98"/>
      <c r="DS46" s="98"/>
      <c r="DT46" s="98"/>
      <c r="DU46" s="98"/>
      <c r="DV46" s="98"/>
      <c r="DW46" s="98"/>
      <c r="DX46" s="98"/>
      <c r="DY46" s="98"/>
      <c r="DZ46" s="98"/>
      <c r="EA46" s="98"/>
      <c r="EB46" s="98"/>
    </row>
    <row r="47" spans="1:132" x14ac:dyDescent="0.2">
      <c r="A47" s="96"/>
      <c r="B47" s="94"/>
      <c r="C47" s="95"/>
      <c r="D47" s="97"/>
      <c r="E47" s="94"/>
      <c r="F47" s="94"/>
      <c r="G47" s="95"/>
      <c r="H47" s="95"/>
      <c r="I47" s="95"/>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98"/>
      <c r="BJ47" s="98"/>
      <c r="BK47" s="98"/>
      <c r="BL47" s="98"/>
      <c r="BM47" s="98"/>
      <c r="BN47" s="98"/>
      <c r="BO47" s="98"/>
      <c r="BP47" s="98"/>
      <c r="BQ47" s="98"/>
      <c r="BR47" s="98"/>
      <c r="BS47" s="98"/>
      <c r="BT47" s="98"/>
      <c r="BU47" s="98"/>
      <c r="BV47" s="98"/>
      <c r="BW47" s="98"/>
      <c r="BX47" s="98"/>
      <c r="BY47" s="98"/>
      <c r="BZ47" s="98"/>
      <c r="CA47" s="98"/>
      <c r="CB47" s="98"/>
      <c r="CC47" s="98"/>
      <c r="CD47" s="98"/>
      <c r="CE47" s="98"/>
      <c r="CF47" s="98"/>
      <c r="CG47" s="98"/>
      <c r="CH47" s="98"/>
      <c r="CI47" s="98"/>
      <c r="CJ47" s="98"/>
      <c r="CK47" s="98"/>
      <c r="CL47" s="98"/>
      <c r="CM47" s="98"/>
      <c r="CN47" s="98"/>
      <c r="CO47" s="98"/>
      <c r="CP47" s="98"/>
      <c r="CQ47" s="98"/>
      <c r="CR47" s="98"/>
      <c r="CS47" s="98"/>
      <c r="CT47" s="98"/>
      <c r="CU47" s="98"/>
      <c r="CV47" s="98"/>
      <c r="CW47" s="98"/>
      <c r="CX47" s="98"/>
      <c r="CY47" s="98"/>
      <c r="CZ47" s="98"/>
      <c r="DA47" s="98"/>
      <c r="DB47" s="98"/>
      <c r="DC47" s="98"/>
      <c r="DD47" s="98"/>
      <c r="DE47" s="98"/>
      <c r="DF47" s="98"/>
      <c r="DG47" s="98"/>
      <c r="DH47" s="98"/>
      <c r="DI47" s="98"/>
      <c r="DJ47" s="98"/>
      <c r="DK47" s="98"/>
      <c r="DL47" s="98"/>
      <c r="DM47" s="98"/>
      <c r="DN47" s="98"/>
      <c r="DO47" s="98"/>
      <c r="DP47" s="98"/>
      <c r="DQ47" s="98"/>
      <c r="DR47" s="98"/>
      <c r="DS47" s="98"/>
      <c r="DT47" s="98"/>
      <c r="DU47" s="98"/>
      <c r="DV47" s="98"/>
      <c r="DW47" s="98"/>
      <c r="DX47" s="98"/>
      <c r="DY47" s="98"/>
      <c r="DZ47" s="98"/>
      <c r="EA47" s="98"/>
      <c r="EB47" s="98"/>
    </row>
    <row r="48" spans="1:132" x14ac:dyDescent="0.2">
      <c r="A48" s="96"/>
      <c r="B48" s="94"/>
      <c r="C48" s="95"/>
      <c r="D48" s="97"/>
      <c r="E48" s="94"/>
      <c r="F48" s="94"/>
      <c r="G48" s="95"/>
      <c r="H48" s="95"/>
      <c r="I48" s="95"/>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98"/>
      <c r="BJ48" s="98"/>
      <c r="BK48" s="98"/>
      <c r="BL48" s="98"/>
      <c r="BM48" s="98"/>
      <c r="BN48" s="98"/>
      <c r="BO48" s="98"/>
      <c r="BP48" s="98"/>
      <c r="BQ48" s="98"/>
      <c r="BR48" s="98"/>
      <c r="BS48" s="98"/>
      <c r="BT48" s="98"/>
      <c r="BU48" s="98"/>
      <c r="BV48" s="98"/>
      <c r="BW48" s="98"/>
      <c r="BX48" s="98"/>
      <c r="BY48" s="98"/>
      <c r="BZ48" s="98"/>
      <c r="CA48" s="98"/>
      <c r="CB48" s="98"/>
      <c r="CC48" s="98"/>
      <c r="CD48" s="98"/>
      <c r="CE48" s="98"/>
      <c r="CF48" s="98"/>
      <c r="CG48" s="98"/>
      <c r="CH48" s="98"/>
      <c r="CI48" s="98"/>
      <c r="CJ48" s="98"/>
      <c r="CK48" s="98"/>
      <c r="CL48" s="98"/>
      <c r="CM48" s="98"/>
      <c r="CN48" s="98"/>
      <c r="CO48" s="98"/>
      <c r="CP48" s="98"/>
      <c r="CQ48" s="98"/>
      <c r="CR48" s="98"/>
      <c r="CS48" s="98"/>
      <c r="CT48" s="98"/>
      <c r="CU48" s="98"/>
      <c r="CV48" s="98"/>
      <c r="CW48" s="98"/>
      <c r="CX48" s="98"/>
      <c r="CY48" s="98"/>
      <c r="CZ48" s="98"/>
      <c r="DA48" s="98"/>
      <c r="DB48" s="98"/>
      <c r="DC48" s="98"/>
      <c r="DD48" s="98"/>
      <c r="DE48" s="98"/>
      <c r="DF48" s="98"/>
      <c r="DG48" s="98"/>
      <c r="DH48" s="98"/>
      <c r="DI48" s="98"/>
      <c r="DJ48" s="98"/>
      <c r="DK48" s="98"/>
      <c r="DL48" s="98"/>
      <c r="DM48" s="98"/>
      <c r="DN48" s="98"/>
      <c r="DO48" s="98"/>
      <c r="DP48" s="98"/>
      <c r="DQ48" s="98"/>
      <c r="DR48" s="98"/>
      <c r="DS48" s="98"/>
      <c r="DT48" s="98"/>
      <c r="DU48" s="98"/>
      <c r="DV48" s="98"/>
      <c r="DW48" s="98"/>
      <c r="DX48" s="98"/>
      <c r="DY48" s="98"/>
      <c r="DZ48" s="98"/>
      <c r="EA48" s="98"/>
      <c r="EB48" s="98"/>
    </row>
    <row r="49" spans="1:132" x14ac:dyDescent="0.2">
      <c r="A49" s="96"/>
      <c r="B49" s="94"/>
      <c r="C49" s="95"/>
      <c r="D49" s="97"/>
      <c r="E49" s="94"/>
      <c r="F49" s="94"/>
      <c r="G49" s="95"/>
      <c r="H49" s="95"/>
      <c r="I49" s="95"/>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c r="BG49" s="98"/>
      <c r="BH49" s="98"/>
      <c r="BI49" s="98"/>
      <c r="BJ49" s="98"/>
      <c r="BK49" s="98"/>
      <c r="BL49" s="98"/>
      <c r="BM49" s="98"/>
      <c r="BN49" s="98"/>
      <c r="BO49" s="98"/>
      <c r="BP49" s="98"/>
      <c r="BQ49" s="98"/>
      <c r="BR49" s="98"/>
      <c r="BS49" s="98"/>
      <c r="BT49" s="98"/>
      <c r="BU49" s="98"/>
      <c r="BV49" s="98"/>
      <c r="BW49" s="98"/>
      <c r="BX49" s="98"/>
      <c r="BY49" s="98"/>
      <c r="BZ49" s="98"/>
      <c r="CA49" s="98"/>
      <c r="CB49" s="98"/>
      <c r="CC49" s="98"/>
      <c r="CD49" s="98"/>
      <c r="CE49" s="98"/>
      <c r="CF49" s="98"/>
      <c r="CG49" s="98"/>
      <c r="CH49" s="98"/>
      <c r="CI49" s="98"/>
      <c r="CJ49" s="98"/>
      <c r="CK49" s="98"/>
      <c r="CL49" s="98"/>
      <c r="CM49" s="98"/>
      <c r="CN49" s="98"/>
      <c r="CO49" s="98"/>
      <c r="CP49" s="98"/>
      <c r="CQ49" s="98"/>
      <c r="CR49" s="98"/>
      <c r="CS49" s="98"/>
      <c r="CT49" s="98"/>
      <c r="CU49" s="98"/>
      <c r="CV49" s="98"/>
      <c r="CW49" s="98"/>
      <c r="CX49" s="98"/>
      <c r="CY49" s="98"/>
      <c r="CZ49" s="98"/>
      <c r="DA49" s="98"/>
      <c r="DB49" s="98"/>
      <c r="DC49" s="98"/>
      <c r="DD49" s="98"/>
      <c r="DE49" s="98"/>
      <c r="DF49" s="98"/>
      <c r="DG49" s="98"/>
      <c r="DH49" s="98"/>
      <c r="DI49" s="98"/>
      <c r="DJ49" s="98"/>
      <c r="DK49" s="98"/>
      <c r="DL49" s="98"/>
      <c r="DM49" s="98"/>
      <c r="DN49" s="98"/>
      <c r="DO49" s="98"/>
      <c r="DP49" s="98"/>
      <c r="DQ49" s="98"/>
      <c r="DR49" s="98"/>
      <c r="DS49" s="98"/>
      <c r="DT49" s="98"/>
      <c r="DU49" s="98"/>
      <c r="DV49" s="98"/>
      <c r="DW49" s="98"/>
      <c r="DX49" s="98"/>
      <c r="DY49" s="98"/>
      <c r="DZ49" s="98"/>
      <c r="EA49" s="98"/>
      <c r="EB49" s="98"/>
    </row>
    <row r="50" spans="1:132" x14ac:dyDescent="0.2">
      <c r="A50" s="96"/>
      <c r="B50" s="94"/>
      <c r="C50" s="95"/>
      <c r="D50" s="97"/>
      <c r="E50" s="94"/>
      <c r="F50" s="94"/>
      <c r="G50" s="95"/>
      <c r="H50" s="95"/>
      <c r="I50" s="95"/>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row>
    <row r="51" spans="1:132" x14ac:dyDescent="0.2">
      <c r="A51" s="96"/>
      <c r="B51" s="94"/>
      <c r="C51" s="95"/>
      <c r="D51" s="97"/>
      <c r="E51" s="94"/>
      <c r="F51" s="94"/>
      <c r="G51" s="95"/>
      <c r="H51" s="95"/>
      <c r="I51" s="95"/>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c r="BG51" s="98"/>
      <c r="BH51" s="98"/>
      <c r="BI51" s="98"/>
      <c r="BJ51" s="98"/>
      <c r="BK51" s="98"/>
      <c r="BL51" s="98"/>
      <c r="BM51" s="98"/>
      <c r="BN51" s="98"/>
      <c r="BO51" s="98"/>
      <c r="BP51" s="98"/>
      <c r="BQ51" s="98"/>
      <c r="BR51" s="98"/>
      <c r="BS51" s="98"/>
      <c r="BT51" s="98"/>
      <c r="BU51" s="98"/>
      <c r="BV51" s="98"/>
      <c r="BW51" s="98"/>
      <c r="BX51" s="98"/>
      <c r="BY51" s="98"/>
      <c r="BZ51" s="98"/>
      <c r="CA51" s="98"/>
      <c r="CB51" s="98"/>
      <c r="CC51" s="98"/>
      <c r="CD51" s="98"/>
      <c r="CE51" s="98"/>
      <c r="CF51" s="98"/>
      <c r="CG51" s="98"/>
      <c r="CH51" s="98"/>
      <c r="CI51" s="98"/>
      <c r="CJ51" s="98"/>
      <c r="CK51" s="98"/>
      <c r="CL51" s="98"/>
      <c r="CM51" s="98"/>
      <c r="CN51" s="98"/>
      <c r="CO51" s="98"/>
      <c r="CP51" s="98"/>
      <c r="CQ51" s="98"/>
      <c r="CR51" s="98"/>
      <c r="CS51" s="98"/>
      <c r="CT51" s="98"/>
      <c r="CU51" s="98"/>
      <c r="CV51" s="98"/>
      <c r="CW51" s="98"/>
      <c r="CX51" s="98"/>
      <c r="CY51" s="98"/>
      <c r="CZ51" s="98"/>
      <c r="DA51" s="98"/>
      <c r="DB51" s="98"/>
      <c r="DC51" s="98"/>
      <c r="DD51" s="98"/>
      <c r="DE51" s="98"/>
      <c r="DF51" s="98"/>
      <c r="DG51" s="98"/>
      <c r="DH51" s="98"/>
      <c r="DI51" s="98"/>
      <c r="DJ51" s="98"/>
      <c r="DK51" s="98"/>
      <c r="DL51" s="98"/>
      <c r="DM51" s="98"/>
      <c r="DN51" s="98"/>
      <c r="DO51" s="98"/>
      <c r="DP51" s="98"/>
      <c r="DQ51" s="98"/>
      <c r="DR51" s="98"/>
      <c r="DS51" s="98"/>
      <c r="DT51" s="98"/>
      <c r="DU51" s="98"/>
      <c r="DV51" s="98"/>
      <c r="DW51" s="98"/>
      <c r="DX51" s="98"/>
      <c r="DY51" s="98"/>
      <c r="DZ51" s="98"/>
      <c r="EA51" s="98"/>
      <c r="EB51" s="98"/>
    </row>
    <row r="52" spans="1:132" x14ac:dyDescent="0.2">
      <c r="A52" s="96"/>
      <c r="B52" s="94"/>
      <c r="C52" s="95"/>
      <c r="D52" s="97"/>
      <c r="E52" s="94"/>
      <c r="F52" s="94"/>
      <c r="G52" s="95"/>
      <c r="H52" s="95"/>
      <c r="I52" s="95"/>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c r="BG52" s="98"/>
      <c r="BH52" s="98"/>
      <c r="BI52" s="98"/>
      <c r="BJ52" s="98"/>
      <c r="BK52" s="98"/>
      <c r="BL52" s="98"/>
      <c r="BM52" s="98"/>
      <c r="BN52" s="98"/>
      <c r="BO52" s="98"/>
      <c r="BP52" s="98"/>
      <c r="BQ52" s="98"/>
      <c r="BR52" s="98"/>
      <c r="BS52" s="98"/>
      <c r="BT52" s="98"/>
      <c r="BU52" s="98"/>
      <c r="BV52" s="98"/>
      <c r="BW52" s="98"/>
      <c r="BX52" s="98"/>
      <c r="BY52" s="98"/>
      <c r="BZ52" s="98"/>
      <c r="CA52" s="98"/>
      <c r="CB52" s="98"/>
      <c r="CC52" s="98"/>
      <c r="CD52" s="98"/>
      <c r="CE52" s="98"/>
      <c r="CF52" s="98"/>
      <c r="CG52" s="98"/>
      <c r="CH52" s="98"/>
      <c r="CI52" s="98"/>
      <c r="CJ52" s="98"/>
      <c r="CK52" s="98"/>
      <c r="CL52" s="98"/>
      <c r="CM52" s="98"/>
      <c r="CN52" s="98"/>
      <c r="CO52" s="98"/>
      <c r="CP52" s="98"/>
      <c r="CQ52" s="98"/>
      <c r="CR52" s="98"/>
      <c r="CS52" s="98"/>
      <c r="CT52" s="98"/>
      <c r="CU52" s="98"/>
      <c r="CV52" s="98"/>
      <c r="CW52" s="98"/>
      <c r="CX52" s="98"/>
      <c r="CY52" s="98"/>
      <c r="CZ52" s="98"/>
      <c r="DA52" s="98"/>
      <c r="DB52" s="98"/>
      <c r="DC52" s="98"/>
      <c r="DD52" s="98"/>
      <c r="DE52" s="98"/>
      <c r="DF52" s="98"/>
      <c r="DG52" s="98"/>
      <c r="DH52" s="98"/>
      <c r="DI52" s="98"/>
      <c r="DJ52" s="98"/>
      <c r="DK52" s="98"/>
      <c r="DL52" s="98"/>
      <c r="DM52" s="98"/>
      <c r="DN52" s="98"/>
      <c r="DO52" s="98"/>
      <c r="DP52" s="98"/>
      <c r="DQ52" s="98"/>
      <c r="DR52" s="98"/>
      <c r="DS52" s="98"/>
      <c r="DT52" s="98"/>
      <c r="DU52" s="98"/>
      <c r="DV52" s="98"/>
      <c r="DW52" s="98"/>
      <c r="DX52" s="98"/>
      <c r="DY52" s="98"/>
      <c r="DZ52" s="98"/>
      <c r="EA52" s="98"/>
      <c r="EB52" s="98"/>
    </row>
    <row r="53" spans="1:132" x14ac:dyDescent="0.2">
      <c r="A53" s="96"/>
      <c r="B53" s="94"/>
      <c r="C53" s="95"/>
      <c r="D53" s="97"/>
      <c r="E53" s="94"/>
      <c r="F53" s="94"/>
      <c r="G53" s="95"/>
      <c r="H53" s="95"/>
      <c r="I53" s="95"/>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c r="BG53" s="98"/>
      <c r="BH53" s="98"/>
      <c r="BI53" s="98"/>
      <c r="BJ53" s="98"/>
      <c r="BK53" s="98"/>
      <c r="BL53" s="98"/>
      <c r="BM53" s="98"/>
      <c r="BN53" s="98"/>
      <c r="BO53" s="98"/>
      <c r="BP53" s="98"/>
      <c r="BQ53" s="98"/>
      <c r="BR53" s="98"/>
      <c r="BS53" s="98"/>
      <c r="BT53" s="98"/>
      <c r="BU53" s="98"/>
      <c r="BV53" s="98"/>
      <c r="BW53" s="98"/>
      <c r="BX53" s="98"/>
      <c r="BY53" s="98"/>
      <c r="BZ53" s="98"/>
      <c r="CA53" s="98"/>
      <c r="CB53" s="98"/>
      <c r="CC53" s="98"/>
      <c r="CD53" s="98"/>
      <c r="CE53" s="98"/>
      <c r="CF53" s="98"/>
      <c r="CG53" s="98"/>
      <c r="CH53" s="98"/>
      <c r="CI53" s="98"/>
      <c r="CJ53" s="98"/>
      <c r="CK53" s="98"/>
      <c r="CL53" s="98"/>
      <c r="CM53" s="98"/>
      <c r="CN53" s="98"/>
      <c r="CO53" s="98"/>
      <c r="CP53" s="98"/>
      <c r="CQ53" s="98"/>
      <c r="CR53" s="98"/>
      <c r="CS53" s="98"/>
      <c r="CT53" s="98"/>
      <c r="CU53" s="98"/>
      <c r="CV53" s="98"/>
      <c r="CW53" s="98"/>
      <c r="CX53" s="98"/>
      <c r="CY53" s="98"/>
      <c r="CZ53" s="98"/>
      <c r="DA53" s="98"/>
      <c r="DB53" s="98"/>
      <c r="DC53" s="98"/>
      <c r="DD53" s="98"/>
      <c r="DE53" s="98"/>
      <c r="DF53" s="98"/>
      <c r="DG53" s="98"/>
      <c r="DH53" s="98"/>
      <c r="DI53" s="98"/>
      <c r="DJ53" s="98"/>
      <c r="DK53" s="98"/>
      <c r="DL53" s="98"/>
      <c r="DM53" s="98"/>
      <c r="DN53" s="98"/>
      <c r="DO53" s="98"/>
      <c r="DP53" s="98"/>
      <c r="DQ53" s="98"/>
      <c r="DR53" s="98"/>
      <c r="DS53" s="98"/>
      <c r="DT53" s="98"/>
      <c r="DU53" s="98"/>
      <c r="DV53" s="98"/>
      <c r="DW53" s="98"/>
      <c r="DX53" s="98"/>
      <c r="DY53" s="98"/>
      <c r="DZ53" s="98"/>
      <c r="EA53" s="98"/>
      <c r="EB53" s="98"/>
    </row>
    <row r="54" spans="1:132" x14ac:dyDescent="0.2">
      <c r="A54" s="96"/>
      <c r="B54" s="94"/>
      <c r="C54" s="95"/>
      <c r="D54" s="97"/>
      <c r="E54" s="94"/>
      <c r="F54" s="94"/>
      <c r="G54" s="95"/>
      <c r="H54" s="95"/>
      <c r="I54" s="95"/>
      <c r="J54" s="98"/>
      <c r="K54" s="9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c r="BG54" s="98"/>
      <c r="BH54" s="98"/>
      <c r="BI54" s="98"/>
      <c r="BJ54" s="98"/>
      <c r="BK54" s="98"/>
      <c r="BL54" s="98"/>
      <c r="BM54" s="98"/>
      <c r="BN54" s="98"/>
      <c r="BO54" s="98"/>
      <c r="BP54" s="98"/>
      <c r="BQ54" s="98"/>
      <c r="BR54" s="98"/>
      <c r="BS54" s="98"/>
      <c r="BT54" s="98"/>
      <c r="BU54" s="98"/>
      <c r="BV54" s="98"/>
      <c r="BW54" s="98"/>
      <c r="BX54" s="98"/>
      <c r="BY54" s="98"/>
      <c r="BZ54" s="98"/>
      <c r="CA54" s="98"/>
      <c r="CB54" s="98"/>
      <c r="CC54" s="98"/>
      <c r="CD54" s="98"/>
      <c r="CE54" s="98"/>
      <c r="CF54" s="98"/>
      <c r="CG54" s="98"/>
      <c r="CH54" s="98"/>
      <c r="CI54" s="98"/>
      <c r="CJ54" s="98"/>
      <c r="CK54" s="98"/>
      <c r="CL54" s="98"/>
      <c r="CM54" s="98"/>
      <c r="CN54" s="98"/>
      <c r="CO54" s="98"/>
      <c r="CP54" s="98"/>
      <c r="CQ54" s="98"/>
      <c r="CR54" s="98"/>
      <c r="CS54" s="98"/>
      <c r="CT54" s="98"/>
      <c r="CU54" s="98"/>
      <c r="CV54" s="98"/>
      <c r="CW54" s="98"/>
      <c r="CX54" s="98"/>
      <c r="CY54" s="98"/>
      <c r="CZ54" s="98"/>
      <c r="DA54" s="98"/>
      <c r="DB54" s="98"/>
      <c r="DC54" s="98"/>
      <c r="DD54" s="98"/>
      <c r="DE54" s="98"/>
      <c r="DF54" s="98"/>
      <c r="DG54" s="98"/>
      <c r="DH54" s="98"/>
      <c r="DI54" s="98"/>
      <c r="DJ54" s="98"/>
      <c r="DK54" s="98"/>
      <c r="DL54" s="98"/>
      <c r="DM54" s="98"/>
      <c r="DN54" s="98"/>
      <c r="DO54" s="98"/>
      <c r="DP54" s="98"/>
      <c r="DQ54" s="98"/>
      <c r="DR54" s="98"/>
      <c r="DS54" s="98"/>
      <c r="DT54" s="98"/>
      <c r="DU54" s="98"/>
      <c r="DV54" s="98"/>
      <c r="DW54" s="98"/>
      <c r="DX54" s="98"/>
      <c r="DY54" s="98"/>
      <c r="DZ54" s="98"/>
      <c r="EA54" s="98"/>
      <c r="EB54" s="98"/>
    </row>
    <row r="55" spans="1:132" x14ac:dyDescent="0.2">
      <c r="A55" s="96"/>
      <c r="B55" s="94"/>
      <c r="C55" s="95"/>
      <c r="D55" s="97"/>
      <c r="E55" s="94"/>
      <c r="F55" s="94"/>
      <c r="G55" s="95"/>
      <c r="H55" s="95"/>
      <c r="I55" s="95"/>
      <c r="J55" s="98"/>
      <c r="K55" s="98"/>
      <c r="L55" s="98"/>
      <c r="M55" s="98"/>
      <c r="N55" s="98"/>
      <c r="O55" s="98"/>
      <c r="P55" s="98"/>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c r="BG55" s="98"/>
      <c r="BH55" s="98"/>
      <c r="BI55" s="98"/>
      <c r="BJ55" s="98"/>
      <c r="BK55" s="98"/>
      <c r="BL55" s="98"/>
      <c r="BM55" s="98"/>
      <c r="BN55" s="98"/>
      <c r="BO55" s="98"/>
      <c r="BP55" s="98"/>
      <c r="BQ55" s="98"/>
      <c r="BR55" s="98"/>
      <c r="BS55" s="98"/>
      <c r="BT55" s="98"/>
      <c r="BU55" s="98"/>
      <c r="BV55" s="98"/>
      <c r="BW55" s="98"/>
      <c r="BX55" s="98"/>
      <c r="BY55" s="98"/>
      <c r="BZ55" s="98"/>
      <c r="CA55" s="98"/>
      <c r="CB55" s="98"/>
      <c r="CC55" s="98"/>
      <c r="CD55" s="98"/>
      <c r="CE55" s="98"/>
      <c r="CF55" s="98"/>
      <c r="CG55" s="98"/>
      <c r="CH55" s="98"/>
      <c r="CI55" s="98"/>
      <c r="CJ55" s="98"/>
      <c r="CK55" s="98"/>
      <c r="CL55" s="98"/>
      <c r="CM55" s="98"/>
      <c r="CN55" s="98"/>
      <c r="CO55" s="98"/>
      <c r="CP55" s="98"/>
      <c r="CQ55" s="98"/>
      <c r="CR55" s="98"/>
      <c r="CS55" s="98"/>
      <c r="CT55" s="98"/>
      <c r="CU55" s="98"/>
      <c r="CV55" s="98"/>
      <c r="CW55" s="98"/>
      <c r="CX55" s="98"/>
      <c r="CY55" s="98"/>
      <c r="CZ55" s="98"/>
      <c r="DA55" s="98"/>
      <c r="DB55" s="98"/>
      <c r="DC55" s="98"/>
      <c r="DD55" s="98"/>
      <c r="DE55" s="98"/>
      <c r="DF55" s="98"/>
      <c r="DG55" s="98"/>
      <c r="DH55" s="98"/>
      <c r="DI55" s="98"/>
      <c r="DJ55" s="98"/>
      <c r="DK55" s="98"/>
      <c r="DL55" s="98"/>
      <c r="DM55" s="98"/>
      <c r="DN55" s="98"/>
      <c r="DO55" s="98"/>
      <c r="DP55" s="98"/>
      <c r="DQ55" s="98"/>
      <c r="DR55" s="98"/>
      <c r="DS55" s="98"/>
      <c r="DT55" s="98"/>
      <c r="DU55" s="98"/>
      <c r="DV55" s="98"/>
      <c r="DW55" s="98"/>
      <c r="DX55" s="98"/>
      <c r="DY55" s="98"/>
      <c r="DZ55" s="98"/>
      <c r="EA55" s="98"/>
      <c r="EB55" s="98"/>
    </row>
    <row r="56" spans="1:132" x14ac:dyDescent="0.2">
      <c r="A56" s="96"/>
      <c r="B56" s="94"/>
      <c r="C56" s="95"/>
      <c r="D56" s="97"/>
      <c r="E56" s="94"/>
      <c r="F56" s="94"/>
      <c r="G56" s="95"/>
      <c r="H56" s="95"/>
      <c r="I56" s="95"/>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c r="BG56" s="98"/>
      <c r="BH56" s="98"/>
      <c r="BI56" s="98"/>
      <c r="BJ56" s="98"/>
      <c r="BK56" s="98"/>
      <c r="BL56" s="98"/>
      <c r="BM56" s="98"/>
      <c r="BN56" s="98"/>
      <c r="BO56" s="98"/>
      <c r="BP56" s="98"/>
      <c r="BQ56" s="98"/>
      <c r="BR56" s="98"/>
      <c r="BS56" s="98"/>
      <c r="BT56" s="98"/>
      <c r="BU56" s="98"/>
      <c r="BV56" s="98"/>
      <c r="BW56" s="98"/>
      <c r="BX56" s="98"/>
      <c r="BY56" s="98"/>
      <c r="BZ56" s="98"/>
      <c r="CA56" s="98"/>
      <c r="CB56" s="98"/>
      <c r="CC56" s="98"/>
      <c r="CD56" s="98"/>
      <c r="CE56" s="98"/>
      <c r="CF56" s="98"/>
      <c r="CG56" s="98"/>
      <c r="CH56" s="98"/>
      <c r="CI56" s="98"/>
      <c r="CJ56" s="98"/>
      <c r="CK56" s="98"/>
      <c r="CL56" s="98"/>
      <c r="CM56" s="98"/>
      <c r="CN56" s="98"/>
      <c r="CO56" s="98"/>
      <c r="CP56" s="98"/>
      <c r="CQ56" s="98"/>
      <c r="CR56" s="98"/>
      <c r="CS56" s="98"/>
      <c r="CT56" s="98"/>
      <c r="CU56" s="98"/>
      <c r="CV56" s="98"/>
      <c r="CW56" s="98"/>
      <c r="CX56" s="98"/>
      <c r="CY56" s="98"/>
      <c r="CZ56" s="98"/>
      <c r="DA56" s="98"/>
      <c r="DB56" s="98"/>
      <c r="DC56" s="98"/>
      <c r="DD56" s="98"/>
      <c r="DE56" s="98"/>
      <c r="DF56" s="98"/>
      <c r="DG56" s="98"/>
      <c r="DH56" s="98"/>
      <c r="DI56" s="98"/>
      <c r="DJ56" s="98"/>
      <c r="DK56" s="98"/>
      <c r="DL56" s="98"/>
      <c r="DM56" s="98"/>
      <c r="DN56" s="98"/>
      <c r="DO56" s="98"/>
      <c r="DP56" s="98"/>
      <c r="DQ56" s="98"/>
      <c r="DR56" s="98"/>
      <c r="DS56" s="98"/>
      <c r="DT56" s="98"/>
      <c r="DU56" s="98"/>
      <c r="DV56" s="98"/>
      <c r="DW56" s="98"/>
      <c r="DX56" s="98"/>
      <c r="DY56" s="98"/>
      <c r="DZ56" s="98"/>
      <c r="EA56" s="98"/>
      <c r="EB56" s="98"/>
    </row>
    <row r="57" spans="1:132" x14ac:dyDescent="0.2">
      <c r="A57" s="96"/>
      <c r="B57" s="94"/>
      <c r="C57" s="95"/>
      <c r="D57" s="97"/>
      <c r="E57" s="94"/>
      <c r="F57" s="94"/>
      <c r="G57" s="95"/>
      <c r="H57" s="95"/>
      <c r="I57" s="95"/>
      <c r="J57" s="98"/>
      <c r="K57" s="9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98"/>
      <c r="BE57" s="98"/>
      <c r="BF57" s="98"/>
      <c r="BG57" s="98"/>
      <c r="BH57" s="98"/>
      <c r="BI57" s="98"/>
      <c r="BJ57" s="98"/>
      <c r="BK57" s="98"/>
      <c r="BL57" s="98"/>
      <c r="BM57" s="98"/>
      <c r="BN57" s="98"/>
      <c r="BO57" s="98"/>
      <c r="BP57" s="98"/>
      <c r="BQ57" s="98"/>
      <c r="BR57" s="98"/>
      <c r="BS57" s="98"/>
      <c r="BT57" s="98"/>
      <c r="BU57" s="98"/>
      <c r="BV57" s="98"/>
      <c r="BW57" s="98"/>
      <c r="BX57" s="98"/>
      <c r="BY57" s="98"/>
      <c r="BZ57" s="98"/>
      <c r="CA57" s="98"/>
      <c r="CB57" s="98"/>
      <c r="CC57" s="98"/>
      <c r="CD57" s="98"/>
      <c r="CE57" s="98"/>
      <c r="CF57" s="98"/>
      <c r="CG57" s="98"/>
      <c r="CH57" s="98"/>
      <c r="CI57" s="98"/>
      <c r="CJ57" s="98"/>
      <c r="CK57" s="98"/>
      <c r="CL57" s="98"/>
      <c r="CM57" s="98"/>
      <c r="CN57" s="98"/>
      <c r="CO57" s="98"/>
      <c r="CP57" s="98"/>
      <c r="CQ57" s="98"/>
      <c r="CR57" s="98"/>
      <c r="CS57" s="98"/>
      <c r="CT57" s="98"/>
      <c r="CU57" s="98"/>
      <c r="CV57" s="98"/>
      <c r="CW57" s="98"/>
      <c r="CX57" s="98"/>
      <c r="CY57" s="98"/>
      <c r="CZ57" s="98"/>
      <c r="DA57" s="98"/>
      <c r="DB57" s="98"/>
      <c r="DC57" s="98"/>
      <c r="DD57" s="98"/>
      <c r="DE57" s="98"/>
      <c r="DF57" s="98"/>
      <c r="DG57" s="98"/>
      <c r="DH57" s="98"/>
      <c r="DI57" s="98"/>
      <c r="DJ57" s="98"/>
      <c r="DK57" s="98"/>
      <c r="DL57" s="98"/>
      <c r="DM57" s="98"/>
      <c r="DN57" s="98"/>
      <c r="DO57" s="98"/>
      <c r="DP57" s="98"/>
      <c r="DQ57" s="98"/>
      <c r="DR57" s="98"/>
      <c r="DS57" s="98"/>
      <c r="DT57" s="98"/>
      <c r="DU57" s="98"/>
      <c r="DV57" s="98"/>
      <c r="DW57" s="98"/>
      <c r="DX57" s="98"/>
      <c r="DY57" s="98"/>
      <c r="DZ57" s="98"/>
      <c r="EA57" s="98"/>
      <c r="EB57" s="98"/>
    </row>
    <row r="58" spans="1:132" x14ac:dyDescent="0.2">
      <c r="A58" s="96"/>
      <c r="B58" s="94"/>
      <c r="C58" s="95"/>
      <c r="D58" s="97"/>
      <c r="E58" s="94"/>
      <c r="F58" s="94"/>
      <c r="G58" s="95"/>
      <c r="H58" s="95"/>
      <c r="I58" s="95"/>
      <c r="J58" s="98"/>
      <c r="K58" s="98"/>
      <c r="L58" s="98"/>
      <c r="M58" s="98"/>
      <c r="N58" s="98"/>
      <c r="O58" s="98"/>
      <c r="P58" s="98"/>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c r="BD58" s="98"/>
      <c r="BE58" s="98"/>
      <c r="BF58" s="98"/>
      <c r="BG58" s="98"/>
      <c r="BH58" s="98"/>
      <c r="BI58" s="98"/>
      <c r="BJ58" s="98"/>
      <c r="BK58" s="98"/>
      <c r="BL58" s="98"/>
      <c r="BM58" s="98"/>
      <c r="BN58" s="98"/>
      <c r="BO58" s="98"/>
      <c r="BP58" s="98"/>
      <c r="BQ58" s="98"/>
      <c r="BR58" s="98"/>
      <c r="BS58" s="98"/>
      <c r="BT58" s="98"/>
      <c r="BU58" s="98"/>
      <c r="BV58" s="98"/>
      <c r="BW58" s="98"/>
      <c r="BX58" s="98"/>
      <c r="BY58" s="98"/>
      <c r="BZ58" s="98"/>
      <c r="CA58" s="98"/>
      <c r="CB58" s="98"/>
      <c r="CC58" s="98"/>
      <c r="CD58" s="98"/>
      <c r="CE58" s="98"/>
      <c r="CF58" s="98"/>
      <c r="CG58" s="98"/>
      <c r="CH58" s="98"/>
      <c r="CI58" s="98"/>
      <c r="CJ58" s="98"/>
      <c r="CK58" s="98"/>
      <c r="CL58" s="98"/>
      <c r="CM58" s="98"/>
      <c r="CN58" s="98"/>
      <c r="CO58" s="98"/>
      <c r="CP58" s="98"/>
      <c r="CQ58" s="98"/>
      <c r="CR58" s="98"/>
      <c r="CS58" s="98"/>
      <c r="CT58" s="98"/>
      <c r="CU58" s="98"/>
      <c r="CV58" s="98"/>
      <c r="CW58" s="98"/>
      <c r="CX58" s="98"/>
      <c r="CY58" s="98"/>
      <c r="CZ58" s="98"/>
      <c r="DA58" s="98"/>
      <c r="DB58" s="98"/>
      <c r="DC58" s="98"/>
      <c r="DD58" s="98"/>
      <c r="DE58" s="98"/>
      <c r="DF58" s="98"/>
      <c r="DG58" s="98"/>
      <c r="DH58" s="98"/>
      <c r="DI58" s="98"/>
      <c r="DJ58" s="98"/>
      <c r="DK58" s="98"/>
      <c r="DL58" s="98"/>
      <c r="DM58" s="98"/>
      <c r="DN58" s="98"/>
      <c r="DO58" s="98"/>
      <c r="DP58" s="98"/>
      <c r="DQ58" s="98"/>
      <c r="DR58" s="98"/>
      <c r="DS58" s="98"/>
      <c r="DT58" s="98"/>
      <c r="DU58" s="98"/>
      <c r="DV58" s="98"/>
      <c r="DW58" s="98"/>
      <c r="DX58" s="98"/>
      <c r="DY58" s="98"/>
      <c r="DZ58" s="98"/>
      <c r="EA58" s="98"/>
      <c r="EB58" s="98"/>
    </row>
    <row r="59" spans="1:132" x14ac:dyDescent="0.2">
      <c r="A59" s="96"/>
      <c r="B59" s="94"/>
      <c r="C59" s="95"/>
      <c r="D59" s="97"/>
      <c r="E59" s="94"/>
      <c r="F59" s="94"/>
      <c r="G59" s="95"/>
      <c r="H59" s="95"/>
      <c r="I59" s="95"/>
      <c r="J59" s="98"/>
      <c r="K59" s="98"/>
      <c r="L59" s="98"/>
      <c r="M59" s="98"/>
      <c r="N59" s="98"/>
      <c r="O59" s="98"/>
      <c r="P59" s="98"/>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c r="BD59" s="98"/>
      <c r="BE59" s="98"/>
      <c r="BF59" s="98"/>
      <c r="BG59" s="98"/>
      <c r="BH59" s="98"/>
      <c r="BI59" s="98"/>
      <c r="BJ59" s="98"/>
      <c r="BK59" s="98"/>
      <c r="BL59" s="98"/>
      <c r="BM59" s="98"/>
      <c r="BN59" s="98"/>
      <c r="BO59" s="98"/>
      <c r="BP59" s="98"/>
      <c r="BQ59" s="98"/>
      <c r="BR59" s="98"/>
      <c r="BS59" s="98"/>
      <c r="BT59" s="98"/>
      <c r="BU59" s="98"/>
      <c r="BV59" s="98"/>
      <c r="BW59" s="98"/>
      <c r="BX59" s="98"/>
      <c r="BY59" s="98"/>
      <c r="BZ59" s="98"/>
      <c r="CA59" s="98"/>
      <c r="CB59" s="98"/>
      <c r="CC59" s="98"/>
      <c r="CD59" s="98"/>
      <c r="CE59" s="98"/>
      <c r="CF59" s="98"/>
      <c r="CG59" s="98"/>
      <c r="CH59" s="98"/>
      <c r="CI59" s="98"/>
      <c r="CJ59" s="98"/>
      <c r="CK59" s="98"/>
      <c r="CL59" s="98"/>
      <c r="CM59" s="98"/>
      <c r="CN59" s="98"/>
      <c r="CO59" s="98"/>
      <c r="CP59" s="98"/>
      <c r="CQ59" s="98"/>
      <c r="CR59" s="98"/>
      <c r="CS59" s="98"/>
      <c r="CT59" s="98"/>
      <c r="CU59" s="98"/>
      <c r="CV59" s="98"/>
      <c r="CW59" s="98"/>
      <c r="CX59" s="98"/>
      <c r="CY59" s="98"/>
      <c r="CZ59" s="98"/>
      <c r="DA59" s="98"/>
      <c r="DB59" s="98"/>
      <c r="DC59" s="98"/>
      <c r="DD59" s="98"/>
      <c r="DE59" s="98"/>
      <c r="DF59" s="98"/>
      <c r="DG59" s="98"/>
      <c r="DH59" s="98"/>
      <c r="DI59" s="98"/>
      <c r="DJ59" s="98"/>
      <c r="DK59" s="98"/>
      <c r="DL59" s="98"/>
      <c r="DM59" s="98"/>
      <c r="DN59" s="98"/>
      <c r="DO59" s="98"/>
      <c r="DP59" s="98"/>
      <c r="DQ59" s="98"/>
      <c r="DR59" s="98"/>
      <c r="DS59" s="98"/>
      <c r="DT59" s="98"/>
      <c r="DU59" s="98"/>
      <c r="DV59" s="98"/>
      <c r="DW59" s="98"/>
      <c r="DX59" s="98"/>
      <c r="DY59" s="98"/>
      <c r="DZ59" s="98"/>
      <c r="EA59" s="98"/>
      <c r="EB59" s="98"/>
    </row>
    <row r="60" spans="1:132" x14ac:dyDescent="0.2">
      <c r="A60" s="96"/>
      <c r="B60" s="94"/>
      <c r="C60" s="95"/>
      <c r="D60" s="97"/>
      <c r="E60" s="94"/>
      <c r="F60" s="94"/>
      <c r="G60" s="95"/>
      <c r="H60" s="95"/>
      <c r="I60" s="95"/>
      <c r="J60" s="98"/>
      <c r="K60" s="9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c r="BD60" s="98"/>
      <c r="BE60" s="98"/>
      <c r="BF60" s="98"/>
      <c r="BG60" s="98"/>
      <c r="BH60" s="98"/>
      <c r="BI60" s="98"/>
      <c r="BJ60" s="98"/>
      <c r="BK60" s="98"/>
      <c r="BL60" s="98"/>
      <c r="BM60" s="98"/>
      <c r="BN60" s="98"/>
      <c r="BO60" s="98"/>
      <c r="BP60" s="98"/>
      <c r="BQ60" s="98"/>
      <c r="BR60" s="98"/>
      <c r="BS60" s="98"/>
      <c r="BT60" s="98"/>
      <c r="BU60" s="98"/>
      <c r="BV60" s="98"/>
      <c r="BW60" s="98"/>
      <c r="BX60" s="98"/>
      <c r="BY60" s="98"/>
      <c r="BZ60" s="98"/>
      <c r="CA60" s="98"/>
      <c r="CB60" s="98"/>
      <c r="CC60" s="98"/>
      <c r="CD60" s="98"/>
      <c r="CE60" s="98"/>
      <c r="CF60" s="98"/>
      <c r="CG60" s="98"/>
      <c r="CH60" s="98"/>
      <c r="CI60" s="98"/>
      <c r="CJ60" s="98"/>
      <c r="CK60" s="98"/>
      <c r="CL60" s="98"/>
      <c r="CM60" s="98"/>
      <c r="CN60" s="98"/>
      <c r="CO60" s="98"/>
      <c r="CP60" s="98"/>
      <c r="CQ60" s="98"/>
      <c r="CR60" s="98"/>
      <c r="CS60" s="98"/>
      <c r="CT60" s="98"/>
      <c r="CU60" s="98"/>
      <c r="CV60" s="98"/>
      <c r="CW60" s="98"/>
      <c r="CX60" s="98"/>
      <c r="CY60" s="98"/>
      <c r="CZ60" s="98"/>
      <c r="DA60" s="98"/>
      <c r="DB60" s="98"/>
      <c r="DC60" s="98"/>
      <c r="DD60" s="98"/>
      <c r="DE60" s="98"/>
      <c r="DF60" s="98"/>
      <c r="DG60" s="98"/>
      <c r="DH60" s="98"/>
      <c r="DI60" s="98"/>
      <c r="DJ60" s="98"/>
      <c r="DK60" s="98"/>
      <c r="DL60" s="98"/>
      <c r="DM60" s="98"/>
      <c r="DN60" s="98"/>
      <c r="DO60" s="98"/>
      <c r="DP60" s="98"/>
      <c r="DQ60" s="98"/>
      <c r="DR60" s="98"/>
      <c r="DS60" s="98"/>
      <c r="DT60" s="98"/>
      <c r="DU60" s="98"/>
      <c r="DV60" s="98"/>
      <c r="DW60" s="98"/>
      <c r="DX60" s="98"/>
      <c r="DY60" s="98"/>
      <c r="DZ60" s="98"/>
      <c r="EA60" s="98"/>
      <c r="EB60" s="98"/>
    </row>
    <row r="61" spans="1:132" x14ac:dyDescent="0.2">
      <c r="A61" s="96"/>
      <c r="B61" s="94"/>
      <c r="C61" s="95"/>
      <c r="D61" s="97"/>
      <c r="E61" s="94"/>
      <c r="F61" s="94"/>
      <c r="G61" s="95"/>
      <c r="H61" s="95"/>
      <c r="I61" s="95"/>
      <c r="J61" s="98"/>
      <c r="K61" s="98"/>
      <c r="L61" s="98"/>
      <c r="M61" s="98"/>
      <c r="N61" s="98"/>
      <c r="O61" s="98"/>
      <c r="P61" s="98"/>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c r="BD61" s="98"/>
      <c r="BE61" s="98"/>
      <c r="BF61" s="98"/>
      <c r="BG61" s="98"/>
      <c r="BH61" s="98"/>
      <c r="BI61" s="98"/>
      <c r="BJ61" s="98"/>
      <c r="BK61" s="98"/>
      <c r="BL61" s="98"/>
      <c r="BM61" s="98"/>
      <c r="BN61" s="98"/>
      <c r="BO61" s="98"/>
      <c r="BP61" s="98"/>
      <c r="BQ61" s="98"/>
      <c r="BR61" s="98"/>
      <c r="BS61" s="98"/>
      <c r="BT61" s="98"/>
      <c r="BU61" s="98"/>
      <c r="BV61" s="98"/>
      <c r="BW61" s="98"/>
      <c r="BX61" s="98"/>
      <c r="BY61" s="98"/>
      <c r="BZ61" s="98"/>
      <c r="CA61" s="98"/>
      <c r="CB61" s="98"/>
      <c r="CC61" s="98"/>
      <c r="CD61" s="98"/>
      <c r="CE61" s="98"/>
      <c r="CF61" s="98"/>
      <c r="CG61" s="98"/>
      <c r="CH61" s="98"/>
      <c r="CI61" s="98"/>
      <c r="CJ61" s="98"/>
      <c r="CK61" s="98"/>
      <c r="CL61" s="98"/>
      <c r="CM61" s="98"/>
      <c r="CN61" s="98"/>
      <c r="CO61" s="98"/>
      <c r="CP61" s="98"/>
      <c r="CQ61" s="98"/>
      <c r="CR61" s="98"/>
      <c r="CS61" s="98"/>
      <c r="CT61" s="98"/>
      <c r="CU61" s="98"/>
      <c r="CV61" s="98"/>
      <c r="CW61" s="98"/>
      <c r="CX61" s="98"/>
      <c r="CY61" s="98"/>
      <c r="CZ61" s="98"/>
      <c r="DA61" s="98"/>
      <c r="DB61" s="98"/>
      <c r="DC61" s="98"/>
      <c r="DD61" s="98"/>
      <c r="DE61" s="98"/>
      <c r="DF61" s="98"/>
      <c r="DG61" s="98"/>
      <c r="DH61" s="98"/>
      <c r="DI61" s="98"/>
      <c r="DJ61" s="98"/>
      <c r="DK61" s="98"/>
      <c r="DL61" s="98"/>
      <c r="DM61" s="98"/>
      <c r="DN61" s="98"/>
      <c r="DO61" s="98"/>
      <c r="DP61" s="98"/>
      <c r="DQ61" s="98"/>
      <c r="DR61" s="98"/>
      <c r="DS61" s="98"/>
      <c r="DT61" s="98"/>
      <c r="DU61" s="98"/>
      <c r="DV61" s="98"/>
      <c r="DW61" s="98"/>
      <c r="DX61" s="98"/>
      <c r="DY61" s="98"/>
      <c r="DZ61" s="98"/>
      <c r="EA61" s="98"/>
      <c r="EB61" s="98"/>
    </row>
    <row r="62" spans="1:132" x14ac:dyDescent="0.2">
      <c r="A62" s="96"/>
      <c r="B62" s="94"/>
      <c r="C62" s="95"/>
      <c r="D62" s="97"/>
      <c r="E62" s="94"/>
      <c r="F62" s="94"/>
      <c r="G62" s="95"/>
      <c r="H62" s="95"/>
      <c r="I62" s="95"/>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c r="BG62" s="98"/>
      <c r="BH62" s="98"/>
      <c r="BI62" s="98"/>
      <c r="BJ62" s="98"/>
      <c r="BK62" s="98"/>
      <c r="BL62" s="98"/>
      <c r="BM62" s="98"/>
      <c r="BN62" s="98"/>
      <c r="BO62" s="98"/>
      <c r="BP62" s="98"/>
      <c r="BQ62" s="98"/>
      <c r="BR62" s="98"/>
      <c r="BS62" s="98"/>
      <c r="BT62" s="98"/>
      <c r="BU62" s="98"/>
      <c r="BV62" s="98"/>
      <c r="BW62" s="98"/>
      <c r="BX62" s="98"/>
      <c r="BY62" s="98"/>
      <c r="BZ62" s="98"/>
      <c r="CA62" s="98"/>
      <c r="CB62" s="98"/>
      <c r="CC62" s="98"/>
      <c r="CD62" s="98"/>
      <c r="CE62" s="98"/>
      <c r="CF62" s="98"/>
      <c r="CG62" s="98"/>
      <c r="CH62" s="98"/>
      <c r="CI62" s="98"/>
      <c r="CJ62" s="98"/>
      <c r="CK62" s="98"/>
      <c r="CL62" s="98"/>
      <c r="CM62" s="98"/>
      <c r="CN62" s="98"/>
      <c r="CO62" s="98"/>
      <c r="CP62" s="98"/>
      <c r="CQ62" s="98"/>
      <c r="CR62" s="98"/>
      <c r="CS62" s="98"/>
      <c r="CT62" s="98"/>
      <c r="CU62" s="98"/>
      <c r="CV62" s="98"/>
      <c r="CW62" s="98"/>
      <c r="CX62" s="98"/>
      <c r="CY62" s="98"/>
      <c r="CZ62" s="98"/>
      <c r="DA62" s="98"/>
      <c r="DB62" s="98"/>
      <c r="DC62" s="98"/>
      <c r="DD62" s="98"/>
      <c r="DE62" s="98"/>
      <c r="DF62" s="98"/>
      <c r="DG62" s="98"/>
      <c r="DH62" s="98"/>
      <c r="DI62" s="98"/>
      <c r="DJ62" s="98"/>
      <c r="DK62" s="98"/>
      <c r="DL62" s="98"/>
      <c r="DM62" s="98"/>
      <c r="DN62" s="98"/>
      <c r="DO62" s="98"/>
      <c r="DP62" s="98"/>
      <c r="DQ62" s="98"/>
      <c r="DR62" s="98"/>
      <c r="DS62" s="98"/>
      <c r="DT62" s="98"/>
      <c r="DU62" s="98"/>
      <c r="DV62" s="98"/>
      <c r="DW62" s="98"/>
      <c r="DX62" s="98"/>
      <c r="DY62" s="98"/>
      <c r="DZ62" s="98"/>
      <c r="EA62" s="98"/>
      <c r="EB62" s="98"/>
    </row>
    <row r="63" spans="1:132" x14ac:dyDescent="0.2">
      <c r="A63" s="96"/>
      <c r="B63" s="94"/>
      <c r="C63" s="95"/>
      <c r="D63" s="97"/>
      <c r="E63" s="94"/>
      <c r="F63" s="94"/>
      <c r="G63" s="95"/>
      <c r="H63" s="95"/>
      <c r="I63" s="95"/>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c r="BG63" s="98"/>
      <c r="BH63" s="98"/>
      <c r="BI63" s="98"/>
      <c r="BJ63" s="98"/>
      <c r="BK63" s="98"/>
      <c r="BL63" s="98"/>
      <c r="BM63" s="98"/>
      <c r="BN63" s="98"/>
      <c r="BO63" s="98"/>
      <c r="BP63" s="98"/>
      <c r="BQ63" s="98"/>
      <c r="BR63" s="98"/>
      <c r="BS63" s="98"/>
      <c r="BT63" s="98"/>
      <c r="BU63" s="98"/>
      <c r="BV63" s="98"/>
      <c r="BW63" s="98"/>
      <c r="BX63" s="98"/>
      <c r="BY63" s="98"/>
      <c r="BZ63" s="98"/>
      <c r="CA63" s="98"/>
      <c r="CB63" s="98"/>
      <c r="CC63" s="98"/>
      <c r="CD63" s="98"/>
      <c r="CE63" s="98"/>
      <c r="CF63" s="98"/>
      <c r="CG63" s="98"/>
      <c r="CH63" s="98"/>
      <c r="CI63" s="98"/>
      <c r="CJ63" s="98"/>
      <c r="CK63" s="98"/>
      <c r="CL63" s="98"/>
      <c r="CM63" s="98"/>
      <c r="CN63" s="98"/>
      <c r="CO63" s="98"/>
      <c r="CP63" s="98"/>
      <c r="CQ63" s="98"/>
      <c r="CR63" s="98"/>
      <c r="CS63" s="98"/>
      <c r="CT63" s="98"/>
      <c r="CU63" s="98"/>
      <c r="CV63" s="98"/>
      <c r="CW63" s="98"/>
      <c r="CX63" s="98"/>
      <c r="CY63" s="98"/>
      <c r="CZ63" s="98"/>
      <c r="DA63" s="98"/>
      <c r="DB63" s="98"/>
      <c r="DC63" s="98"/>
      <c r="DD63" s="98"/>
      <c r="DE63" s="98"/>
      <c r="DF63" s="98"/>
      <c r="DG63" s="98"/>
      <c r="DH63" s="98"/>
      <c r="DI63" s="98"/>
      <c r="DJ63" s="98"/>
      <c r="DK63" s="98"/>
      <c r="DL63" s="98"/>
      <c r="DM63" s="98"/>
      <c r="DN63" s="98"/>
      <c r="DO63" s="98"/>
      <c r="DP63" s="98"/>
      <c r="DQ63" s="98"/>
      <c r="DR63" s="98"/>
      <c r="DS63" s="98"/>
      <c r="DT63" s="98"/>
      <c r="DU63" s="98"/>
      <c r="DV63" s="98"/>
      <c r="DW63" s="98"/>
      <c r="DX63" s="98"/>
      <c r="DY63" s="98"/>
      <c r="DZ63" s="98"/>
      <c r="EA63" s="98"/>
      <c r="EB63" s="98"/>
    </row>
    <row r="64" spans="1:132" x14ac:dyDescent="0.2">
      <c r="A64" s="96"/>
      <c r="B64" s="94"/>
      <c r="C64" s="95"/>
      <c r="D64" s="97"/>
      <c r="E64" s="94"/>
      <c r="F64" s="94"/>
      <c r="G64" s="95"/>
      <c r="H64" s="95"/>
      <c r="I64" s="95"/>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c r="BG64" s="98"/>
      <c r="BH64" s="98"/>
      <c r="BI64" s="98"/>
      <c r="BJ64" s="98"/>
      <c r="BK64" s="98"/>
      <c r="BL64" s="98"/>
      <c r="BM64" s="98"/>
      <c r="BN64" s="98"/>
      <c r="BO64" s="98"/>
      <c r="BP64" s="98"/>
      <c r="BQ64" s="98"/>
      <c r="BR64" s="98"/>
      <c r="BS64" s="98"/>
      <c r="BT64" s="98"/>
      <c r="BU64" s="98"/>
      <c r="BV64" s="98"/>
      <c r="BW64" s="98"/>
      <c r="BX64" s="98"/>
      <c r="BY64" s="98"/>
      <c r="BZ64" s="98"/>
      <c r="CA64" s="98"/>
      <c r="CB64" s="98"/>
      <c r="CC64" s="98"/>
      <c r="CD64" s="98"/>
      <c r="CE64" s="98"/>
      <c r="CF64" s="98"/>
      <c r="CG64" s="98"/>
      <c r="CH64" s="98"/>
      <c r="CI64" s="98"/>
      <c r="CJ64" s="98"/>
      <c r="CK64" s="98"/>
      <c r="CL64" s="98"/>
      <c r="CM64" s="98"/>
      <c r="CN64" s="98"/>
      <c r="CO64" s="98"/>
      <c r="CP64" s="98"/>
      <c r="CQ64" s="98"/>
      <c r="CR64" s="98"/>
      <c r="CS64" s="98"/>
      <c r="CT64" s="98"/>
      <c r="CU64" s="98"/>
      <c r="CV64" s="98"/>
      <c r="CW64" s="98"/>
      <c r="CX64" s="98"/>
      <c r="CY64" s="98"/>
      <c r="CZ64" s="98"/>
      <c r="DA64" s="98"/>
      <c r="DB64" s="98"/>
      <c r="DC64" s="98"/>
      <c r="DD64" s="98"/>
      <c r="DE64" s="98"/>
      <c r="DF64" s="98"/>
      <c r="DG64" s="98"/>
      <c r="DH64" s="98"/>
      <c r="DI64" s="98"/>
      <c r="DJ64" s="98"/>
      <c r="DK64" s="98"/>
      <c r="DL64" s="98"/>
      <c r="DM64" s="98"/>
      <c r="DN64" s="98"/>
      <c r="DO64" s="98"/>
      <c r="DP64" s="98"/>
      <c r="DQ64" s="98"/>
      <c r="DR64" s="98"/>
      <c r="DS64" s="98"/>
      <c r="DT64" s="98"/>
      <c r="DU64" s="98"/>
      <c r="DV64" s="98"/>
      <c r="DW64" s="98"/>
      <c r="DX64" s="98"/>
      <c r="DY64" s="98"/>
      <c r="DZ64" s="98"/>
      <c r="EA64" s="98"/>
      <c r="EB64" s="98"/>
    </row>
    <row r="65" spans="1:132" x14ac:dyDescent="0.2">
      <c r="A65" s="96"/>
      <c r="B65" s="94"/>
      <c r="C65" s="95"/>
      <c r="D65" s="97"/>
      <c r="E65" s="94"/>
      <c r="F65" s="94"/>
      <c r="G65" s="95"/>
      <c r="H65" s="95"/>
      <c r="I65" s="95"/>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98"/>
      <c r="BJ65" s="98"/>
      <c r="BK65" s="98"/>
      <c r="BL65" s="98"/>
      <c r="BM65" s="98"/>
      <c r="BN65" s="98"/>
      <c r="BO65" s="98"/>
      <c r="BP65" s="98"/>
      <c r="BQ65" s="98"/>
      <c r="BR65" s="98"/>
      <c r="BS65" s="98"/>
      <c r="BT65" s="98"/>
      <c r="BU65" s="98"/>
      <c r="BV65" s="98"/>
      <c r="BW65" s="98"/>
      <c r="BX65" s="98"/>
      <c r="BY65" s="98"/>
      <c r="BZ65" s="98"/>
      <c r="CA65" s="98"/>
      <c r="CB65" s="98"/>
      <c r="CC65" s="98"/>
      <c r="CD65" s="98"/>
      <c r="CE65" s="98"/>
      <c r="CF65" s="98"/>
      <c r="CG65" s="98"/>
      <c r="CH65" s="98"/>
      <c r="CI65" s="98"/>
      <c r="CJ65" s="98"/>
      <c r="CK65" s="98"/>
      <c r="CL65" s="98"/>
      <c r="CM65" s="98"/>
      <c r="CN65" s="98"/>
      <c r="CO65" s="98"/>
      <c r="CP65" s="98"/>
      <c r="CQ65" s="98"/>
      <c r="CR65" s="98"/>
      <c r="CS65" s="98"/>
      <c r="CT65" s="98"/>
      <c r="CU65" s="98"/>
      <c r="CV65" s="98"/>
      <c r="CW65" s="98"/>
      <c r="CX65" s="98"/>
      <c r="CY65" s="98"/>
      <c r="CZ65" s="98"/>
      <c r="DA65" s="98"/>
      <c r="DB65" s="98"/>
      <c r="DC65" s="98"/>
      <c r="DD65" s="98"/>
      <c r="DE65" s="98"/>
      <c r="DF65" s="98"/>
      <c r="DG65" s="98"/>
      <c r="DH65" s="98"/>
      <c r="DI65" s="98"/>
      <c r="DJ65" s="98"/>
      <c r="DK65" s="98"/>
      <c r="DL65" s="98"/>
      <c r="DM65" s="98"/>
      <c r="DN65" s="98"/>
      <c r="DO65" s="98"/>
      <c r="DP65" s="98"/>
      <c r="DQ65" s="98"/>
      <c r="DR65" s="98"/>
      <c r="DS65" s="98"/>
      <c r="DT65" s="98"/>
      <c r="DU65" s="98"/>
      <c r="DV65" s="98"/>
      <c r="DW65" s="98"/>
      <c r="DX65" s="98"/>
      <c r="DY65" s="98"/>
      <c r="DZ65" s="98"/>
      <c r="EA65" s="98"/>
      <c r="EB65" s="98"/>
    </row>
    <row r="66" spans="1:132" x14ac:dyDescent="0.2">
      <c r="A66" s="96"/>
      <c r="B66" s="94"/>
      <c r="C66" s="95"/>
      <c r="D66" s="97"/>
      <c r="E66" s="94"/>
      <c r="F66" s="94"/>
      <c r="G66" s="95"/>
      <c r="H66" s="95"/>
      <c r="I66" s="95"/>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98"/>
      <c r="BJ66" s="98"/>
      <c r="BK66" s="98"/>
      <c r="BL66" s="98"/>
      <c r="BM66" s="98"/>
      <c r="BN66" s="98"/>
      <c r="BO66" s="98"/>
      <c r="BP66" s="98"/>
      <c r="BQ66" s="98"/>
      <c r="BR66" s="98"/>
      <c r="BS66" s="98"/>
      <c r="BT66" s="98"/>
      <c r="BU66" s="98"/>
      <c r="BV66" s="98"/>
      <c r="BW66" s="98"/>
      <c r="BX66" s="98"/>
      <c r="BY66" s="98"/>
      <c r="BZ66" s="98"/>
      <c r="CA66" s="98"/>
      <c r="CB66" s="98"/>
      <c r="CC66" s="98"/>
      <c r="CD66" s="98"/>
      <c r="CE66" s="98"/>
      <c r="CF66" s="98"/>
      <c r="CG66" s="98"/>
      <c r="CH66" s="98"/>
      <c r="CI66" s="98"/>
      <c r="CJ66" s="98"/>
      <c r="CK66" s="98"/>
      <c r="CL66" s="98"/>
      <c r="CM66" s="98"/>
      <c r="CN66" s="98"/>
      <c r="CO66" s="98"/>
      <c r="CP66" s="98"/>
      <c r="CQ66" s="98"/>
      <c r="CR66" s="98"/>
      <c r="CS66" s="98"/>
      <c r="CT66" s="98"/>
      <c r="CU66" s="98"/>
      <c r="CV66" s="98"/>
      <c r="CW66" s="98"/>
      <c r="CX66" s="98"/>
      <c r="CY66" s="98"/>
      <c r="CZ66" s="98"/>
      <c r="DA66" s="98"/>
      <c r="DB66" s="98"/>
      <c r="DC66" s="98"/>
      <c r="DD66" s="98"/>
      <c r="DE66" s="98"/>
      <c r="DF66" s="98"/>
      <c r="DG66" s="98"/>
      <c r="DH66" s="98"/>
      <c r="DI66" s="98"/>
      <c r="DJ66" s="98"/>
      <c r="DK66" s="98"/>
      <c r="DL66" s="98"/>
      <c r="DM66" s="98"/>
      <c r="DN66" s="98"/>
      <c r="DO66" s="98"/>
      <c r="DP66" s="98"/>
      <c r="DQ66" s="98"/>
      <c r="DR66" s="98"/>
      <c r="DS66" s="98"/>
      <c r="DT66" s="98"/>
      <c r="DU66" s="98"/>
      <c r="DV66" s="98"/>
      <c r="DW66" s="98"/>
      <c r="DX66" s="98"/>
      <c r="DY66" s="98"/>
      <c r="DZ66" s="98"/>
      <c r="EA66" s="98"/>
      <c r="EB66" s="98"/>
    </row>
    <row r="67" spans="1:132" x14ac:dyDescent="0.2">
      <c r="A67" s="96"/>
      <c r="B67" s="94"/>
      <c r="C67" s="95"/>
      <c r="D67" s="97"/>
      <c r="E67" s="94"/>
      <c r="F67" s="94"/>
      <c r="G67" s="95"/>
      <c r="H67" s="95"/>
      <c r="I67" s="95"/>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c r="BG67" s="98"/>
      <c r="BH67" s="98"/>
      <c r="BI67" s="98"/>
      <c r="BJ67" s="98"/>
      <c r="BK67" s="98"/>
      <c r="BL67" s="98"/>
      <c r="BM67" s="98"/>
      <c r="BN67" s="98"/>
      <c r="BO67" s="98"/>
      <c r="BP67" s="98"/>
      <c r="BQ67" s="98"/>
      <c r="BR67" s="98"/>
      <c r="BS67" s="98"/>
      <c r="BT67" s="98"/>
      <c r="BU67" s="98"/>
      <c r="BV67" s="98"/>
      <c r="BW67" s="98"/>
      <c r="BX67" s="98"/>
      <c r="BY67" s="98"/>
      <c r="BZ67" s="98"/>
      <c r="CA67" s="98"/>
      <c r="CB67" s="98"/>
      <c r="CC67" s="98"/>
      <c r="CD67" s="98"/>
      <c r="CE67" s="98"/>
      <c r="CF67" s="98"/>
      <c r="CG67" s="98"/>
      <c r="CH67" s="98"/>
      <c r="CI67" s="98"/>
      <c r="CJ67" s="98"/>
      <c r="CK67" s="98"/>
      <c r="CL67" s="98"/>
      <c r="CM67" s="98"/>
      <c r="CN67" s="98"/>
      <c r="CO67" s="98"/>
      <c r="CP67" s="98"/>
      <c r="CQ67" s="98"/>
      <c r="CR67" s="98"/>
      <c r="CS67" s="98"/>
      <c r="CT67" s="98"/>
      <c r="CU67" s="98"/>
      <c r="CV67" s="98"/>
      <c r="CW67" s="98"/>
      <c r="CX67" s="98"/>
      <c r="CY67" s="98"/>
      <c r="CZ67" s="98"/>
      <c r="DA67" s="98"/>
      <c r="DB67" s="98"/>
      <c r="DC67" s="98"/>
      <c r="DD67" s="98"/>
      <c r="DE67" s="98"/>
      <c r="DF67" s="98"/>
      <c r="DG67" s="98"/>
      <c r="DH67" s="98"/>
      <c r="DI67" s="98"/>
      <c r="DJ67" s="98"/>
      <c r="DK67" s="98"/>
      <c r="DL67" s="98"/>
      <c r="DM67" s="98"/>
      <c r="DN67" s="98"/>
      <c r="DO67" s="98"/>
      <c r="DP67" s="98"/>
      <c r="DQ67" s="98"/>
      <c r="DR67" s="98"/>
      <c r="DS67" s="98"/>
      <c r="DT67" s="98"/>
      <c r="DU67" s="98"/>
      <c r="DV67" s="98"/>
      <c r="DW67" s="98"/>
      <c r="DX67" s="98"/>
      <c r="DY67" s="98"/>
      <c r="DZ67" s="98"/>
      <c r="EA67" s="98"/>
      <c r="EB67" s="98"/>
    </row>
    <row r="68" spans="1:132" x14ac:dyDescent="0.2">
      <c r="A68" s="96"/>
      <c r="B68" s="94"/>
      <c r="C68" s="95"/>
      <c r="D68" s="97"/>
      <c r="E68" s="94"/>
      <c r="F68" s="94"/>
      <c r="G68" s="95"/>
      <c r="H68" s="95"/>
      <c r="I68" s="95"/>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c r="BG68" s="98"/>
      <c r="BH68" s="98"/>
      <c r="BI68" s="98"/>
      <c r="BJ68" s="98"/>
      <c r="BK68" s="98"/>
      <c r="BL68" s="98"/>
      <c r="BM68" s="98"/>
      <c r="BN68" s="98"/>
      <c r="BO68" s="98"/>
      <c r="BP68" s="98"/>
      <c r="BQ68" s="98"/>
      <c r="BR68" s="98"/>
      <c r="BS68" s="98"/>
      <c r="BT68" s="98"/>
      <c r="BU68" s="98"/>
      <c r="BV68" s="98"/>
      <c r="BW68" s="98"/>
      <c r="BX68" s="98"/>
      <c r="BY68" s="98"/>
      <c r="BZ68" s="98"/>
      <c r="CA68" s="98"/>
      <c r="CB68" s="98"/>
      <c r="CC68" s="98"/>
      <c r="CD68" s="98"/>
      <c r="CE68" s="98"/>
      <c r="CF68" s="98"/>
      <c r="CG68" s="98"/>
      <c r="CH68" s="98"/>
      <c r="CI68" s="98"/>
      <c r="CJ68" s="98"/>
      <c r="CK68" s="98"/>
      <c r="CL68" s="98"/>
      <c r="CM68" s="98"/>
      <c r="CN68" s="98"/>
      <c r="CO68" s="98"/>
      <c r="CP68" s="98"/>
      <c r="CQ68" s="98"/>
      <c r="CR68" s="98"/>
      <c r="CS68" s="98"/>
      <c r="CT68" s="98"/>
      <c r="CU68" s="98"/>
      <c r="CV68" s="98"/>
      <c r="CW68" s="98"/>
      <c r="CX68" s="98"/>
      <c r="CY68" s="98"/>
      <c r="CZ68" s="98"/>
      <c r="DA68" s="98"/>
      <c r="DB68" s="98"/>
      <c r="DC68" s="98"/>
      <c r="DD68" s="98"/>
      <c r="DE68" s="98"/>
      <c r="DF68" s="98"/>
      <c r="DG68" s="98"/>
      <c r="DH68" s="98"/>
      <c r="DI68" s="98"/>
      <c r="DJ68" s="98"/>
      <c r="DK68" s="98"/>
      <c r="DL68" s="98"/>
      <c r="DM68" s="98"/>
      <c r="DN68" s="98"/>
      <c r="DO68" s="98"/>
      <c r="DP68" s="98"/>
      <c r="DQ68" s="98"/>
      <c r="DR68" s="98"/>
      <c r="DS68" s="98"/>
      <c r="DT68" s="98"/>
      <c r="DU68" s="98"/>
      <c r="DV68" s="98"/>
      <c r="DW68" s="98"/>
      <c r="DX68" s="98"/>
      <c r="DY68" s="98"/>
      <c r="DZ68" s="98"/>
      <c r="EA68" s="98"/>
      <c r="EB68" s="98"/>
    </row>
    <row r="69" spans="1:132" x14ac:dyDescent="0.2">
      <c r="A69" s="96"/>
      <c r="B69" s="94"/>
      <c r="C69" s="95"/>
      <c r="D69" s="97"/>
      <c r="E69" s="94"/>
      <c r="F69" s="94"/>
      <c r="G69" s="95"/>
      <c r="H69" s="95"/>
      <c r="I69" s="95"/>
      <c r="J69" s="98"/>
      <c r="K69" s="9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c r="BD69" s="98"/>
      <c r="BE69" s="98"/>
      <c r="BF69" s="98"/>
      <c r="BG69" s="98"/>
      <c r="BH69" s="98"/>
      <c r="BI69" s="98"/>
      <c r="BJ69" s="98"/>
      <c r="BK69" s="98"/>
      <c r="BL69" s="98"/>
      <c r="BM69" s="98"/>
      <c r="BN69" s="98"/>
      <c r="BO69" s="98"/>
      <c r="BP69" s="98"/>
      <c r="BQ69" s="98"/>
      <c r="BR69" s="98"/>
      <c r="BS69" s="98"/>
      <c r="BT69" s="98"/>
      <c r="BU69" s="98"/>
      <c r="BV69" s="98"/>
      <c r="BW69" s="98"/>
      <c r="BX69" s="98"/>
      <c r="BY69" s="98"/>
      <c r="BZ69" s="98"/>
      <c r="CA69" s="98"/>
      <c r="CB69" s="98"/>
      <c r="CC69" s="98"/>
      <c r="CD69" s="98"/>
      <c r="CE69" s="98"/>
      <c r="CF69" s="98"/>
      <c r="CG69" s="98"/>
      <c r="CH69" s="98"/>
      <c r="CI69" s="98"/>
      <c r="CJ69" s="98"/>
      <c r="CK69" s="98"/>
      <c r="CL69" s="98"/>
      <c r="CM69" s="98"/>
      <c r="CN69" s="98"/>
      <c r="CO69" s="98"/>
      <c r="CP69" s="98"/>
      <c r="CQ69" s="98"/>
      <c r="CR69" s="98"/>
      <c r="CS69" s="98"/>
      <c r="CT69" s="98"/>
      <c r="CU69" s="98"/>
      <c r="CV69" s="98"/>
      <c r="CW69" s="98"/>
      <c r="CX69" s="98"/>
      <c r="CY69" s="98"/>
      <c r="CZ69" s="98"/>
      <c r="DA69" s="98"/>
      <c r="DB69" s="98"/>
      <c r="DC69" s="98"/>
      <c r="DD69" s="98"/>
      <c r="DE69" s="98"/>
      <c r="DF69" s="98"/>
      <c r="DG69" s="98"/>
      <c r="DH69" s="98"/>
      <c r="DI69" s="98"/>
      <c r="DJ69" s="98"/>
      <c r="DK69" s="98"/>
      <c r="DL69" s="98"/>
      <c r="DM69" s="98"/>
      <c r="DN69" s="98"/>
      <c r="DO69" s="98"/>
      <c r="DP69" s="98"/>
      <c r="DQ69" s="98"/>
      <c r="DR69" s="98"/>
      <c r="DS69" s="98"/>
      <c r="DT69" s="98"/>
      <c r="DU69" s="98"/>
      <c r="DV69" s="98"/>
      <c r="DW69" s="98"/>
      <c r="DX69" s="98"/>
      <c r="DY69" s="98"/>
      <c r="DZ69" s="98"/>
      <c r="EA69" s="98"/>
      <c r="EB69" s="98"/>
    </row>
    <row r="70" spans="1:132" x14ac:dyDescent="0.2">
      <c r="A70" s="96"/>
      <c r="B70" s="94"/>
      <c r="C70" s="95"/>
      <c r="D70" s="97"/>
      <c r="E70" s="94"/>
      <c r="F70" s="94"/>
      <c r="G70" s="95"/>
      <c r="H70" s="95"/>
      <c r="I70" s="95"/>
      <c r="J70" s="98"/>
      <c r="K70" s="98"/>
      <c r="L70" s="98"/>
      <c r="M70" s="98"/>
      <c r="N70" s="98"/>
      <c r="O70" s="98"/>
      <c r="P70" s="98"/>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c r="BD70" s="98"/>
      <c r="BE70" s="98"/>
      <c r="BF70" s="98"/>
      <c r="BG70" s="98"/>
      <c r="BH70" s="98"/>
      <c r="BI70" s="98"/>
      <c r="BJ70" s="98"/>
      <c r="BK70" s="98"/>
      <c r="BL70" s="98"/>
      <c r="BM70" s="98"/>
      <c r="BN70" s="98"/>
      <c r="BO70" s="98"/>
      <c r="BP70" s="98"/>
      <c r="BQ70" s="98"/>
      <c r="BR70" s="98"/>
      <c r="BS70" s="98"/>
      <c r="BT70" s="98"/>
      <c r="BU70" s="98"/>
      <c r="BV70" s="98"/>
      <c r="BW70" s="98"/>
      <c r="BX70" s="98"/>
      <c r="BY70" s="98"/>
      <c r="BZ70" s="98"/>
      <c r="CA70" s="98"/>
      <c r="CB70" s="98"/>
      <c r="CC70" s="98"/>
      <c r="CD70" s="98"/>
      <c r="CE70" s="98"/>
      <c r="CF70" s="98"/>
      <c r="CG70" s="98"/>
      <c r="CH70" s="98"/>
      <c r="CI70" s="98"/>
      <c r="CJ70" s="98"/>
      <c r="CK70" s="98"/>
      <c r="CL70" s="98"/>
      <c r="CM70" s="98"/>
      <c r="CN70" s="98"/>
      <c r="CO70" s="98"/>
      <c r="CP70" s="98"/>
      <c r="CQ70" s="98"/>
      <c r="CR70" s="98"/>
      <c r="CS70" s="98"/>
      <c r="CT70" s="98"/>
      <c r="CU70" s="98"/>
      <c r="CV70" s="98"/>
      <c r="CW70" s="98"/>
      <c r="CX70" s="98"/>
      <c r="CY70" s="98"/>
      <c r="CZ70" s="98"/>
      <c r="DA70" s="98"/>
      <c r="DB70" s="98"/>
      <c r="DC70" s="98"/>
      <c r="DD70" s="98"/>
      <c r="DE70" s="98"/>
      <c r="DF70" s="98"/>
      <c r="DG70" s="98"/>
      <c r="DH70" s="98"/>
      <c r="DI70" s="98"/>
      <c r="DJ70" s="98"/>
      <c r="DK70" s="98"/>
      <c r="DL70" s="98"/>
      <c r="DM70" s="98"/>
      <c r="DN70" s="98"/>
      <c r="DO70" s="98"/>
      <c r="DP70" s="98"/>
      <c r="DQ70" s="98"/>
      <c r="DR70" s="98"/>
      <c r="DS70" s="98"/>
      <c r="DT70" s="98"/>
      <c r="DU70" s="98"/>
      <c r="DV70" s="98"/>
      <c r="DW70" s="98"/>
      <c r="DX70" s="98"/>
      <c r="DY70" s="98"/>
      <c r="DZ70" s="98"/>
      <c r="EA70" s="98"/>
      <c r="EB70" s="98"/>
    </row>
    <row r="71" spans="1:132" x14ac:dyDescent="0.2">
      <c r="A71" s="96"/>
      <c r="B71" s="94"/>
      <c r="C71" s="95"/>
      <c r="D71" s="97"/>
      <c r="E71" s="94"/>
      <c r="F71" s="94"/>
      <c r="G71" s="95"/>
      <c r="H71" s="95"/>
      <c r="I71" s="95"/>
      <c r="J71" s="98"/>
      <c r="K71" s="98"/>
      <c r="L71" s="98"/>
      <c r="M71" s="98"/>
      <c r="N71" s="98"/>
      <c r="O71" s="98"/>
      <c r="P71" s="98"/>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c r="BD71" s="98"/>
      <c r="BE71" s="98"/>
      <c r="BF71" s="98"/>
      <c r="BG71" s="98"/>
      <c r="BH71" s="98"/>
      <c r="BI71" s="98"/>
      <c r="BJ71" s="98"/>
      <c r="BK71" s="98"/>
      <c r="BL71" s="98"/>
      <c r="BM71" s="98"/>
      <c r="BN71" s="98"/>
      <c r="BO71" s="98"/>
      <c r="BP71" s="98"/>
      <c r="BQ71" s="98"/>
      <c r="BR71" s="98"/>
      <c r="BS71" s="98"/>
      <c r="BT71" s="98"/>
      <c r="BU71" s="98"/>
      <c r="BV71" s="98"/>
      <c r="BW71" s="98"/>
      <c r="BX71" s="98"/>
      <c r="BY71" s="98"/>
      <c r="BZ71" s="98"/>
      <c r="CA71" s="98"/>
      <c r="CB71" s="98"/>
      <c r="CC71" s="98"/>
      <c r="CD71" s="98"/>
      <c r="CE71" s="98"/>
      <c r="CF71" s="98"/>
      <c r="CG71" s="98"/>
      <c r="CH71" s="98"/>
      <c r="CI71" s="98"/>
      <c r="CJ71" s="98"/>
      <c r="CK71" s="98"/>
      <c r="CL71" s="98"/>
      <c r="CM71" s="98"/>
      <c r="CN71" s="98"/>
      <c r="CO71" s="98"/>
      <c r="CP71" s="98"/>
      <c r="CQ71" s="98"/>
      <c r="CR71" s="98"/>
      <c r="CS71" s="98"/>
      <c r="CT71" s="98"/>
      <c r="CU71" s="98"/>
      <c r="CV71" s="98"/>
      <c r="CW71" s="98"/>
      <c r="CX71" s="98"/>
      <c r="CY71" s="98"/>
      <c r="CZ71" s="98"/>
      <c r="DA71" s="98"/>
      <c r="DB71" s="98"/>
      <c r="DC71" s="98"/>
      <c r="DD71" s="98"/>
      <c r="DE71" s="98"/>
      <c r="DF71" s="98"/>
      <c r="DG71" s="98"/>
      <c r="DH71" s="98"/>
      <c r="DI71" s="98"/>
      <c r="DJ71" s="98"/>
      <c r="DK71" s="98"/>
      <c r="DL71" s="98"/>
      <c r="DM71" s="98"/>
      <c r="DN71" s="98"/>
      <c r="DO71" s="98"/>
      <c r="DP71" s="98"/>
      <c r="DQ71" s="98"/>
      <c r="DR71" s="98"/>
      <c r="DS71" s="98"/>
      <c r="DT71" s="98"/>
      <c r="DU71" s="98"/>
      <c r="DV71" s="98"/>
      <c r="DW71" s="98"/>
      <c r="DX71" s="98"/>
      <c r="DY71" s="98"/>
      <c r="DZ71" s="98"/>
      <c r="EA71" s="98"/>
      <c r="EB71" s="98"/>
    </row>
    <row r="72" spans="1:132" x14ac:dyDescent="0.2">
      <c r="A72" s="96"/>
      <c r="B72" s="94"/>
      <c r="C72" s="95"/>
      <c r="D72" s="97"/>
      <c r="E72" s="94"/>
      <c r="F72" s="94"/>
      <c r="G72" s="95"/>
      <c r="H72" s="95"/>
      <c r="I72" s="95"/>
      <c r="J72" s="98"/>
      <c r="K72" s="9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c r="BD72" s="98"/>
      <c r="BE72" s="98"/>
      <c r="BF72" s="98"/>
      <c r="BG72" s="98"/>
      <c r="BH72" s="98"/>
      <c r="BI72" s="98"/>
      <c r="BJ72" s="98"/>
      <c r="BK72" s="98"/>
      <c r="BL72" s="98"/>
      <c r="BM72" s="98"/>
      <c r="BN72" s="98"/>
      <c r="BO72" s="98"/>
      <c r="BP72" s="98"/>
      <c r="BQ72" s="98"/>
      <c r="BR72" s="98"/>
      <c r="BS72" s="98"/>
      <c r="BT72" s="98"/>
      <c r="BU72" s="98"/>
      <c r="BV72" s="98"/>
      <c r="BW72" s="98"/>
      <c r="BX72" s="98"/>
      <c r="BY72" s="98"/>
      <c r="BZ72" s="98"/>
      <c r="CA72" s="98"/>
      <c r="CB72" s="98"/>
      <c r="CC72" s="98"/>
      <c r="CD72" s="98"/>
      <c r="CE72" s="98"/>
      <c r="CF72" s="98"/>
      <c r="CG72" s="98"/>
      <c r="CH72" s="98"/>
      <c r="CI72" s="98"/>
      <c r="CJ72" s="98"/>
      <c r="CK72" s="98"/>
      <c r="CL72" s="98"/>
      <c r="CM72" s="98"/>
      <c r="CN72" s="98"/>
      <c r="CO72" s="98"/>
      <c r="CP72" s="98"/>
      <c r="CQ72" s="98"/>
      <c r="CR72" s="98"/>
      <c r="CS72" s="98"/>
      <c r="CT72" s="98"/>
      <c r="CU72" s="98"/>
      <c r="CV72" s="98"/>
      <c r="CW72" s="98"/>
      <c r="CX72" s="98"/>
      <c r="CY72" s="98"/>
      <c r="CZ72" s="98"/>
      <c r="DA72" s="98"/>
      <c r="DB72" s="98"/>
      <c r="DC72" s="98"/>
      <c r="DD72" s="98"/>
      <c r="DE72" s="98"/>
      <c r="DF72" s="98"/>
      <c r="DG72" s="98"/>
      <c r="DH72" s="98"/>
      <c r="DI72" s="98"/>
      <c r="DJ72" s="98"/>
      <c r="DK72" s="98"/>
      <c r="DL72" s="98"/>
      <c r="DM72" s="98"/>
      <c r="DN72" s="98"/>
      <c r="DO72" s="98"/>
      <c r="DP72" s="98"/>
      <c r="DQ72" s="98"/>
      <c r="DR72" s="98"/>
      <c r="DS72" s="98"/>
      <c r="DT72" s="98"/>
      <c r="DU72" s="98"/>
      <c r="DV72" s="98"/>
      <c r="DW72" s="98"/>
      <c r="DX72" s="98"/>
      <c r="DY72" s="98"/>
      <c r="DZ72" s="98"/>
      <c r="EA72" s="98"/>
      <c r="EB72" s="98"/>
    </row>
    <row r="73" spans="1:132" x14ac:dyDescent="0.2">
      <c r="A73" s="96"/>
      <c r="B73" s="94"/>
      <c r="C73" s="95"/>
      <c r="D73" s="97"/>
      <c r="E73" s="94"/>
      <c r="F73" s="94"/>
      <c r="G73" s="95"/>
      <c r="H73" s="95"/>
      <c r="I73" s="95"/>
      <c r="J73" s="98"/>
      <c r="K73" s="98"/>
      <c r="L73" s="98"/>
      <c r="M73" s="98"/>
      <c r="N73" s="98"/>
      <c r="O73" s="98"/>
      <c r="P73" s="98"/>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c r="BD73" s="98"/>
      <c r="BE73" s="98"/>
      <c r="BF73" s="98"/>
      <c r="BG73" s="98"/>
      <c r="BH73" s="98"/>
      <c r="BI73" s="98"/>
      <c r="BJ73" s="98"/>
      <c r="BK73" s="98"/>
      <c r="BL73" s="98"/>
      <c r="BM73" s="98"/>
      <c r="BN73" s="98"/>
      <c r="BO73" s="98"/>
      <c r="BP73" s="98"/>
      <c r="BQ73" s="98"/>
      <c r="BR73" s="98"/>
      <c r="BS73" s="98"/>
      <c r="BT73" s="98"/>
      <c r="BU73" s="98"/>
      <c r="BV73" s="98"/>
      <c r="BW73" s="98"/>
      <c r="BX73" s="98"/>
      <c r="BY73" s="98"/>
      <c r="BZ73" s="98"/>
      <c r="CA73" s="98"/>
      <c r="CB73" s="98"/>
      <c r="CC73" s="98"/>
      <c r="CD73" s="98"/>
      <c r="CE73" s="98"/>
      <c r="CF73" s="98"/>
      <c r="CG73" s="98"/>
      <c r="CH73" s="98"/>
      <c r="CI73" s="98"/>
      <c r="CJ73" s="98"/>
      <c r="CK73" s="98"/>
      <c r="CL73" s="98"/>
      <c r="CM73" s="98"/>
      <c r="CN73" s="98"/>
      <c r="CO73" s="98"/>
      <c r="CP73" s="98"/>
      <c r="CQ73" s="98"/>
      <c r="CR73" s="98"/>
      <c r="CS73" s="98"/>
      <c r="CT73" s="98"/>
      <c r="CU73" s="98"/>
      <c r="CV73" s="98"/>
      <c r="CW73" s="98"/>
      <c r="CX73" s="98"/>
      <c r="CY73" s="98"/>
      <c r="CZ73" s="98"/>
      <c r="DA73" s="98"/>
      <c r="DB73" s="98"/>
      <c r="DC73" s="98"/>
      <c r="DD73" s="98"/>
      <c r="DE73" s="98"/>
      <c r="DF73" s="98"/>
      <c r="DG73" s="98"/>
      <c r="DH73" s="98"/>
      <c r="DI73" s="98"/>
      <c r="DJ73" s="98"/>
      <c r="DK73" s="98"/>
      <c r="DL73" s="98"/>
      <c r="DM73" s="98"/>
      <c r="DN73" s="98"/>
      <c r="DO73" s="98"/>
      <c r="DP73" s="98"/>
      <c r="DQ73" s="98"/>
      <c r="DR73" s="98"/>
      <c r="DS73" s="98"/>
      <c r="DT73" s="98"/>
      <c r="DU73" s="98"/>
      <c r="DV73" s="98"/>
      <c r="DW73" s="98"/>
      <c r="DX73" s="98"/>
      <c r="DY73" s="98"/>
      <c r="DZ73" s="98"/>
      <c r="EA73" s="98"/>
      <c r="EB73" s="98"/>
    </row>
    <row r="74" spans="1:132" x14ac:dyDescent="0.2">
      <c r="A74" s="96"/>
      <c r="B74" s="94"/>
      <c r="C74" s="95"/>
      <c r="D74" s="97"/>
      <c r="E74" s="94"/>
      <c r="F74" s="94"/>
      <c r="G74" s="95"/>
      <c r="H74" s="95"/>
      <c r="I74" s="95"/>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c r="BD74" s="98"/>
      <c r="BE74" s="98"/>
      <c r="BF74" s="98"/>
      <c r="BG74" s="98"/>
      <c r="BH74" s="98"/>
      <c r="BI74" s="98"/>
      <c r="BJ74" s="98"/>
      <c r="BK74" s="98"/>
      <c r="BL74" s="98"/>
      <c r="BM74" s="98"/>
      <c r="BN74" s="98"/>
      <c r="BO74" s="98"/>
      <c r="BP74" s="98"/>
      <c r="BQ74" s="98"/>
      <c r="BR74" s="98"/>
      <c r="BS74" s="98"/>
      <c r="BT74" s="98"/>
      <c r="BU74" s="98"/>
      <c r="BV74" s="98"/>
      <c r="BW74" s="98"/>
      <c r="BX74" s="98"/>
      <c r="BY74" s="98"/>
      <c r="BZ74" s="98"/>
      <c r="CA74" s="98"/>
      <c r="CB74" s="98"/>
      <c r="CC74" s="98"/>
      <c r="CD74" s="98"/>
      <c r="CE74" s="98"/>
      <c r="CF74" s="98"/>
      <c r="CG74" s="98"/>
      <c r="CH74" s="98"/>
      <c r="CI74" s="98"/>
      <c r="CJ74" s="98"/>
      <c r="CK74" s="98"/>
      <c r="CL74" s="98"/>
      <c r="CM74" s="98"/>
      <c r="CN74" s="98"/>
      <c r="CO74" s="98"/>
      <c r="CP74" s="98"/>
      <c r="CQ74" s="98"/>
      <c r="CR74" s="98"/>
      <c r="CS74" s="98"/>
      <c r="CT74" s="98"/>
      <c r="CU74" s="98"/>
      <c r="CV74" s="98"/>
      <c r="CW74" s="98"/>
      <c r="CX74" s="98"/>
      <c r="CY74" s="98"/>
      <c r="CZ74" s="98"/>
      <c r="DA74" s="98"/>
      <c r="DB74" s="98"/>
      <c r="DC74" s="98"/>
      <c r="DD74" s="98"/>
      <c r="DE74" s="98"/>
      <c r="DF74" s="98"/>
      <c r="DG74" s="98"/>
      <c r="DH74" s="98"/>
      <c r="DI74" s="98"/>
      <c r="DJ74" s="98"/>
      <c r="DK74" s="98"/>
      <c r="DL74" s="98"/>
      <c r="DM74" s="98"/>
      <c r="DN74" s="98"/>
      <c r="DO74" s="98"/>
      <c r="DP74" s="98"/>
      <c r="DQ74" s="98"/>
      <c r="DR74" s="98"/>
      <c r="DS74" s="98"/>
      <c r="DT74" s="98"/>
      <c r="DU74" s="98"/>
      <c r="DV74" s="98"/>
      <c r="DW74" s="98"/>
      <c r="DX74" s="98"/>
      <c r="DY74" s="98"/>
      <c r="DZ74" s="98"/>
      <c r="EA74" s="98"/>
      <c r="EB74" s="98"/>
    </row>
    <row r="75" spans="1:132" x14ac:dyDescent="0.2">
      <c r="A75" s="96"/>
      <c r="B75" s="94"/>
      <c r="C75" s="95"/>
      <c r="D75" s="97"/>
      <c r="E75" s="94"/>
      <c r="F75" s="94"/>
      <c r="G75" s="95"/>
      <c r="H75" s="95"/>
      <c r="I75" s="95"/>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98"/>
      <c r="BJ75" s="98"/>
      <c r="BK75" s="98"/>
      <c r="BL75" s="98"/>
      <c r="BM75" s="98"/>
      <c r="BN75" s="98"/>
      <c r="BO75" s="98"/>
      <c r="BP75" s="98"/>
      <c r="BQ75" s="98"/>
      <c r="BR75" s="98"/>
      <c r="BS75" s="98"/>
      <c r="BT75" s="98"/>
      <c r="BU75" s="98"/>
      <c r="BV75" s="98"/>
      <c r="BW75" s="98"/>
      <c r="BX75" s="98"/>
      <c r="BY75" s="98"/>
      <c r="BZ75" s="98"/>
      <c r="CA75" s="98"/>
      <c r="CB75" s="98"/>
      <c r="CC75" s="98"/>
      <c r="CD75" s="98"/>
      <c r="CE75" s="98"/>
      <c r="CF75" s="98"/>
      <c r="CG75" s="98"/>
      <c r="CH75" s="98"/>
      <c r="CI75" s="98"/>
      <c r="CJ75" s="98"/>
      <c r="CK75" s="98"/>
      <c r="CL75" s="98"/>
      <c r="CM75" s="98"/>
      <c r="CN75" s="98"/>
      <c r="CO75" s="98"/>
      <c r="CP75" s="98"/>
      <c r="CQ75" s="98"/>
      <c r="CR75" s="98"/>
      <c r="CS75" s="98"/>
      <c r="CT75" s="98"/>
      <c r="CU75" s="98"/>
      <c r="CV75" s="98"/>
      <c r="CW75" s="98"/>
      <c r="CX75" s="98"/>
      <c r="CY75" s="98"/>
      <c r="CZ75" s="98"/>
      <c r="DA75" s="98"/>
      <c r="DB75" s="98"/>
      <c r="DC75" s="98"/>
      <c r="DD75" s="98"/>
      <c r="DE75" s="98"/>
      <c r="DF75" s="98"/>
      <c r="DG75" s="98"/>
      <c r="DH75" s="98"/>
      <c r="DI75" s="98"/>
      <c r="DJ75" s="98"/>
      <c r="DK75" s="98"/>
      <c r="DL75" s="98"/>
      <c r="DM75" s="98"/>
      <c r="DN75" s="98"/>
      <c r="DO75" s="98"/>
      <c r="DP75" s="98"/>
      <c r="DQ75" s="98"/>
      <c r="DR75" s="98"/>
      <c r="DS75" s="98"/>
      <c r="DT75" s="98"/>
      <c r="DU75" s="98"/>
      <c r="DV75" s="98"/>
      <c r="DW75" s="98"/>
      <c r="DX75" s="98"/>
      <c r="DY75" s="98"/>
      <c r="DZ75" s="98"/>
      <c r="EA75" s="98"/>
      <c r="EB75" s="98"/>
    </row>
    <row r="76" spans="1:132" x14ac:dyDescent="0.2">
      <c r="A76" s="96"/>
      <c r="B76" s="94"/>
      <c r="C76" s="95"/>
      <c r="D76" s="97"/>
      <c r="E76" s="94"/>
      <c r="F76" s="94"/>
      <c r="G76" s="95"/>
      <c r="H76" s="95"/>
      <c r="I76" s="95"/>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98"/>
      <c r="BI76" s="98"/>
      <c r="BJ76" s="98"/>
      <c r="BK76" s="98"/>
      <c r="BL76" s="98"/>
      <c r="BM76" s="98"/>
      <c r="BN76" s="98"/>
      <c r="BO76" s="98"/>
      <c r="BP76" s="98"/>
      <c r="BQ76" s="98"/>
      <c r="BR76" s="98"/>
      <c r="BS76" s="98"/>
      <c r="BT76" s="98"/>
      <c r="BU76" s="98"/>
      <c r="BV76" s="98"/>
      <c r="BW76" s="98"/>
      <c r="BX76" s="98"/>
      <c r="BY76" s="98"/>
      <c r="BZ76" s="98"/>
      <c r="CA76" s="98"/>
      <c r="CB76" s="98"/>
      <c r="CC76" s="98"/>
      <c r="CD76" s="98"/>
      <c r="CE76" s="98"/>
      <c r="CF76" s="98"/>
      <c r="CG76" s="98"/>
      <c r="CH76" s="98"/>
      <c r="CI76" s="98"/>
      <c r="CJ76" s="98"/>
      <c r="CK76" s="98"/>
      <c r="CL76" s="98"/>
      <c r="CM76" s="98"/>
      <c r="CN76" s="98"/>
      <c r="CO76" s="98"/>
      <c r="CP76" s="98"/>
      <c r="CQ76" s="98"/>
      <c r="CR76" s="98"/>
      <c r="CS76" s="98"/>
      <c r="CT76" s="98"/>
      <c r="CU76" s="98"/>
      <c r="CV76" s="98"/>
      <c r="CW76" s="98"/>
      <c r="CX76" s="98"/>
      <c r="CY76" s="98"/>
      <c r="CZ76" s="98"/>
      <c r="DA76" s="98"/>
      <c r="DB76" s="98"/>
      <c r="DC76" s="98"/>
      <c r="DD76" s="98"/>
      <c r="DE76" s="98"/>
      <c r="DF76" s="98"/>
      <c r="DG76" s="98"/>
      <c r="DH76" s="98"/>
      <c r="DI76" s="98"/>
      <c r="DJ76" s="98"/>
      <c r="DK76" s="98"/>
      <c r="DL76" s="98"/>
      <c r="DM76" s="98"/>
      <c r="DN76" s="98"/>
      <c r="DO76" s="98"/>
      <c r="DP76" s="98"/>
      <c r="DQ76" s="98"/>
      <c r="DR76" s="98"/>
      <c r="DS76" s="98"/>
      <c r="DT76" s="98"/>
      <c r="DU76" s="98"/>
      <c r="DV76" s="98"/>
      <c r="DW76" s="98"/>
      <c r="DX76" s="98"/>
      <c r="DY76" s="98"/>
      <c r="DZ76" s="98"/>
      <c r="EA76" s="98"/>
      <c r="EB76" s="98"/>
    </row>
    <row r="77" spans="1:132" x14ac:dyDescent="0.2">
      <c r="A77" s="96"/>
      <c r="B77" s="94"/>
      <c r="C77" s="95"/>
      <c r="D77" s="97"/>
      <c r="E77" s="94"/>
      <c r="F77" s="94"/>
      <c r="G77" s="95"/>
      <c r="H77" s="95"/>
      <c r="I77" s="95"/>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98"/>
      <c r="BJ77" s="98"/>
      <c r="BK77" s="98"/>
      <c r="BL77" s="98"/>
      <c r="BM77" s="98"/>
      <c r="BN77" s="98"/>
      <c r="BO77" s="98"/>
      <c r="BP77" s="98"/>
      <c r="BQ77" s="98"/>
      <c r="BR77" s="98"/>
      <c r="BS77" s="98"/>
      <c r="BT77" s="98"/>
      <c r="BU77" s="98"/>
      <c r="BV77" s="98"/>
      <c r="BW77" s="98"/>
      <c r="BX77" s="98"/>
      <c r="BY77" s="98"/>
      <c r="BZ77" s="98"/>
      <c r="CA77" s="98"/>
      <c r="CB77" s="98"/>
      <c r="CC77" s="98"/>
      <c r="CD77" s="98"/>
      <c r="CE77" s="98"/>
      <c r="CF77" s="98"/>
      <c r="CG77" s="98"/>
      <c r="CH77" s="98"/>
      <c r="CI77" s="98"/>
      <c r="CJ77" s="98"/>
      <c r="CK77" s="98"/>
      <c r="CL77" s="98"/>
      <c r="CM77" s="98"/>
      <c r="CN77" s="98"/>
      <c r="CO77" s="98"/>
      <c r="CP77" s="98"/>
      <c r="CQ77" s="98"/>
      <c r="CR77" s="98"/>
      <c r="CS77" s="98"/>
      <c r="CT77" s="98"/>
      <c r="CU77" s="98"/>
      <c r="CV77" s="98"/>
      <c r="CW77" s="98"/>
      <c r="CX77" s="98"/>
      <c r="CY77" s="98"/>
      <c r="CZ77" s="98"/>
      <c r="DA77" s="98"/>
      <c r="DB77" s="98"/>
      <c r="DC77" s="98"/>
      <c r="DD77" s="98"/>
      <c r="DE77" s="98"/>
      <c r="DF77" s="98"/>
      <c r="DG77" s="98"/>
      <c r="DH77" s="98"/>
      <c r="DI77" s="98"/>
      <c r="DJ77" s="98"/>
      <c r="DK77" s="98"/>
      <c r="DL77" s="98"/>
      <c r="DM77" s="98"/>
      <c r="DN77" s="98"/>
      <c r="DO77" s="98"/>
      <c r="DP77" s="98"/>
      <c r="DQ77" s="98"/>
      <c r="DR77" s="98"/>
      <c r="DS77" s="98"/>
      <c r="DT77" s="98"/>
      <c r="DU77" s="98"/>
      <c r="DV77" s="98"/>
      <c r="DW77" s="98"/>
      <c r="DX77" s="98"/>
      <c r="DY77" s="98"/>
      <c r="DZ77" s="98"/>
      <c r="EA77" s="98"/>
      <c r="EB77" s="98"/>
    </row>
    <row r="78" spans="1:132" x14ac:dyDescent="0.2">
      <c r="A78" s="96"/>
      <c r="B78" s="94"/>
      <c r="C78" s="95"/>
      <c r="D78" s="97"/>
      <c r="E78" s="94"/>
      <c r="F78" s="94"/>
      <c r="G78" s="95"/>
      <c r="H78" s="95"/>
      <c r="I78" s="95"/>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c r="BD78" s="98"/>
      <c r="BE78" s="98"/>
      <c r="BF78" s="98"/>
      <c r="BG78" s="98"/>
      <c r="BH78" s="98"/>
      <c r="BI78" s="98"/>
      <c r="BJ78" s="98"/>
      <c r="BK78" s="98"/>
      <c r="BL78" s="98"/>
      <c r="BM78" s="98"/>
      <c r="BN78" s="98"/>
      <c r="BO78" s="98"/>
      <c r="BP78" s="98"/>
      <c r="BQ78" s="98"/>
      <c r="BR78" s="98"/>
      <c r="BS78" s="98"/>
      <c r="BT78" s="98"/>
      <c r="BU78" s="98"/>
      <c r="BV78" s="98"/>
      <c r="BW78" s="98"/>
      <c r="BX78" s="98"/>
      <c r="BY78" s="98"/>
      <c r="BZ78" s="98"/>
      <c r="CA78" s="98"/>
      <c r="CB78" s="98"/>
      <c r="CC78" s="98"/>
      <c r="CD78" s="98"/>
      <c r="CE78" s="98"/>
      <c r="CF78" s="98"/>
      <c r="CG78" s="98"/>
      <c r="CH78" s="98"/>
      <c r="CI78" s="98"/>
      <c r="CJ78" s="98"/>
      <c r="CK78" s="98"/>
      <c r="CL78" s="98"/>
      <c r="CM78" s="98"/>
      <c r="CN78" s="98"/>
      <c r="CO78" s="98"/>
      <c r="CP78" s="98"/>
      <c r="CQ78" s="98"/>
      <c r="CR78" s="98"/>
      <c r="CS78" s="98"/>
      <c r="CT78" s="98"/>
      <c r="CU78" s="98"/>
      <c r="CV78" s="98"/>
      <c r="CW78" s="98"/>
      <c r="CX78" s="98"/>
      <c r="CY78" s="98"/>
      <c r="CZ78" s="98"/>
      <c r="DA78" s="98"/>
      <c r="DB78" s="98"/>
      <c r="DC78" s="98"/>
      <c r="DD78" s="98"/>
      <c r="DE78" s="98"/>
      <c r="DF78" s="98"/>
      <c r="DG78" s="98"/>
      <c r="DH78" s="98"/>
      <c r="DI78" s="98"/>
      <c r="DJ78" s="98"/>
      <c r="DK78" s="98"/>
      <c r="DL78" s="98"/>
      <c r="DM78" s="98"/>
      <c r="DN78" s="98"/>
      <c r="DO78" s="98"/>
      <c r="DP78" s="98"/>
      <c r="DQ78" s="98"/>
      <c r="DR78" s="98"/>
      <c r="DS78" s="98"/>
      <c r="DT78" s="98"/>
      <c r="DU78" s="98"/>
      <c r="DV78" s="98"/>
      <c r="DW78" s="98"/>
      <c r="DX78" s="98"/>
      <c r="DY78" s="98"/>
      <c r="DZ78" s="98"/>
      <c r="EA78" s="98"/>
      <c r="EB78" s="98"/>
    </row>
    <row r="79" spans="1:132" x14ac:dyDescent="0.2">
      <c r="A79" s="96"/>
      <c r="B79" s="94"/>
      <c r="C79" s="95"/>
      <c r="D79" s="97"/>
      <c r="E79" s="94"/>
      <c r="F79" s="94"/>
      <c r="G79" s="95"/>
      <c r="H79" s="95"/>
      <c r="I79" s="95"/>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c r="BG79" s="98"/>
      <c r="BH79" s="98"/>
      <c r="BI79" s="98"/>
      <c r="BJ79" s="98"/>
      <c r="BK79" s="98"/>
      <c r="BL79" s="98"/>
      <c r="BM79" s="98"/>
      <c r="BN79" s="98"/>
      <c r="BO79" s="98"/>
      <c r="BP79" s="98"/>
      <c r="BQ79" s="98"/>
      <c r="BR79" s="98"/>
      <c r="BS79" s="98"/>
      <c r="BT79" s="98"/>
      <c r="BU79" s="98"/>
      <c r="BV79" s="98"/>
      <c r="BW79" s="98"/>
      <c r="BX79" s="98"/>
      <c r="BY79" s="98"/>
      <c r="BZ79" s="98"/>
      <c r="CA79" s="98"/>
      <c r="CB79" s="98"/>
      <c r="CC79" s="98"/>
      <c r="CD79" s="98"/>
      <c r="CE79" s="98"/>
      <c r="CF79" s="98"/>
      <c r="CG79" s="98"/>
      <c r="CH79" s="98"/>
      <c r="CI79" s="98"/>
      <c r="CJ79" s="98"/>
      <c r="CK79" s="98"/>
      <c r="CL79" s="98"/>
      <c r="CM79" s="98"/>
      <c r="CN79" s="98"/>
      <c r="CO79" s="98"/>
      <c r="CP79" s="98"/>
      <c r="CQ79" s="98"/>
      <c r="CR79" s="98"/>
      <c r="CS79" s="98"/>
      <c r="CT79" s="98"/>
      <c r="CU79" s="98"/>
      <c r="CV79" s="98"/>
      <c r="CW79" s="98"/>
      <c r="CX79" s="98"/>
      <c r="CY79" s="98"/>
      <c r="CZ79" s="98"/>
      <c r="DA79" s="98"/>
      <c r="DB79" s="98"/>
      <c r="DC79" s="98"/>
      <c r="DD79" s="98"/>
      <c r="DE79" s="98"/>
      <c r="DF79" s="98"/>
      <c r="DG79" s="98"/>
      <c r="DH79" s="98"/>
      <c r="DI79" s="98"/>
      <c r="DJ79" s="98"/>
      <c r="DK79" s="98"/>
      <c r="DL79" s="98"/>
      <c r="DM79" s="98"/>
      <c r="DN79" s="98"/>
      <c r="DO79" s="98"/>
      <c r="DP79" s="98"/>
      <c r="DQ79" s="98"/>
      <c r="DR79" s="98"/>
      <c r="DS79" s="98"/>
      <c r="DT79" s="98"/>
      <c r="DU79" s="98"/>
      <c r="DV79" s="98"/>
      <c r="DW79" s="98"/>
      <c r="DX79" s="98"/>
      <c r="DY79" s="98"/>
      <c r="DZ79" s="98"/>
      <c r="EA79" s="98"/>
      <c r="EB79" s="98"/>
    </row>
    <row r="80" spans="1:132" x14ac:dyDescent="0.2">
      <c r="A80" s="96"/>
      <c r="B80" s="94"/>
      <c r="C80" s="95"/>
      <c r="D80" s="97"/>
      <c r="E80" s="94"/>
      <c r="F80" s="94"/>
      <c r="G80" s="95"/>
      <c r="H80" s="95"/>
      <c r="I80" s="95"/>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c r="BG80" s="98"/>
      <c r="BH80" s="98"/>
      <c r="BI80" s="98"/>
      <c r="BJ80" s="98"/>
      <c r="BK80" s="98"/>
      <c r="BL80" s="98"/>
      <c r="BM80" s="98"/>
      <c r="BN80" s="98"/>
      <c r="BO80" s="98"/>
      <c r="BP80" s="98"/>
      <c r="BQ80" s="98"/>
      <c r="BR80" s="98"/>
      <c r="BS80" s="98"/>
      <c r="BT80" s="98"/>
      <c r="BU80" s="98"/>
      <c r="BV80" s="98"/>
      <c r="BW80" s="98"/>
      <c r="BX80" s="98"/>
      <c r="BY80" s="98"/>
      <c r="BZ80" s="98"/>
      <c r="CA80" s="98"/>
      <c r="CB80" s="98"/>
      <c r="CC80" s="98"/>
      <c r="CD80" s="98"/>
      <c r="CE80" s="98"/>
      <c r="CF80" s="98"/>
      <c r="CG80" s="98"/>
      <c r="CH80" s="98"/>
      <c r="CI80" s="98"/>
      <c r="CJ80" s="98"/>
      <c r="CK80" s="98"/>
      <c r="CL80" s="98"/>
      <c r="CM80" s="98"/>
      <c r="CN80" s="98"/>
      <c r="CO80" s="98"/>
      <c r="CP80" s="98"/>
      <c r="CQ80" s="98"/>
      <c r="CR80" s="98"/>
      <c r="CS80" s="98"/>
      <c r="CT80" s="98"/>
      <c r="CU80" s="98"/>
      <c r="CV80" s="98"/>
      <c r="CW80" s="98"/>
      <c r="CX80" s="98"/>
      <c r="CY80" s="98"/>
      <c r="CZ80" s="98"/>
      <c r="DA80" s="98"/>
      <c r="DB80" s="98"/>
      <c r="DC80" s="98"/>
      <c r="DD80" s="98"/>
      <c r="DE80" s="98"/>
      <c r="DF80" s="98"/>
      <c r="DG80" s="98"/>
      <c r="DH80" s="98"/>
      <c r="DI80" s="98"/>
      <c r="DJ80" s="98"/>
      <c r="DK80" s="98"/>
      <c r="DL80" s="98"/>
      <c r="DM80" s="98"/>
      <c r="DN80" s="98"/>
      <c r="DO80" s="98"/>
      <c r="DP80" s="98"/>
      <c r="DQ80" s="98"/>
      <c r="DR80" s="98"/>
      <c r="DS80" s="98"/>
      <c r="DT80" s="98"/>
      <c r="DU80" s="98"/>
      <c r="DV80" s="98"/>
      <c r="DW80" s="98"/>
      <c r="DX80" s="98"/>
      <c r="DY80" s="98"/>
      <c r="DZ80" s="98"/>
      <c r="EA80" s="98"/>
      <c r="EB80" s="98"/>
    </row>
    <row r="81" spans="1:132" x14ac:dyDescent="0.2">
      <c r="A81" s="96"/>
      <c r="B81" s="94"/>
      <c r="C81" s="95"/>
      <c r="D81" s="97"/>
      <c r="E81" s="94"/>
      <c r="F81" s="94"/>
      <c r="G81" s="95"/>
      <c r="H81" s="95"/>
      <c r="I81" s="95"/>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c r="BD81" s="98"/>
      <c r="BE81" s="98"/>
      <c r="BF81" s="98"/>
      <c r="BG81" s="98"/>
      <c r="BH81" s="98"/>
      <c r="BI81" s="98"/>
      <c r="BJ81" s="98"/>
      <c r="BK81" s="98"/>
      <c r="BL81" s="98"/>
      <c r="BM81" s="98"/>
      <c r="BN81" s="98"/>
      <c r="BO81" s="98"/>
      <c r="BP81" s="98"/>
      <c r="BQ81" s="98"/>
      <c r="BR81" s="98"/>
      <c r="BS81" s="98"/>
      <c r="BT81" s="98"/>
      <c r="BU81" s="98"/>
      <c r="BV81" s="98"/>
      <c r="BW81" s="98"/>
      <c r="BX81" s="98"/>
      <c r="BY81" s="98"/>
      <c r="BZ81" s="98"/>
      <c r="CA81" s="98"/>
      <c r="CB81" s="98"/>
      <c r="CC81" s="98"/>
      <c r="CD81" s="98"/>
      <c r="CE81" s="98"/>
      <c r="CF81" s="98"/>
      <c r="CG81" s="98"/>
      <c r="CH81" s="98"/>
      <c r="CI81" s="98"/>
      <c r="CJ81" s="98"/>
      <c r="CK81" s="98"/>
      <c r="CL81" s="98"/>
      <c r="CM81" s="98"/>
      <c r="CN81" s="98"/>
      <c r="CO81" s="98"/>
      <c r="CP81" s="98"/>
      <c r="CQ81" s="98"/>
      <c r="CR81" s="98"/>
      <c r="CS81" s="98"/>
      <c r="CT81" s="98"/>
      <c r="CU81" s="98"/>
      <c r="CV81" s="98"/>
      <c r="CW81" s="98"/>
      <c r="CX81" s="98"/>
      <c r="CY81" s="98"/>
      <c r="CZ81" s="98"/>
      <c r="DA81" s="98"/>
      <c r="DB81" s="98"/>
      <c r="DC81" s="98"/>
      <c r="DD81" s="98"/>
      <c r="DE81" s="98"/>
      <c r="DF81" s="98"/>
      <c r="DG81" s="98"/>
      <c r="DH81" s="98"/>
      <c r="DI81" s="98"/>
      <c r="DJ81" s="98"/>
      <c r="DK81" s="98"/>
      <c r="DL81" s="98"/>
      <c r="DM81" s="98"/>
      <c r="DN81" s="98"/>
      <c r="DO81" s="98"/>
      <c r="DP81" s="98"/>
      <c r="DQ81" s="98"/>
      <c r="DR81" s="98"/>
      <c r="DS81" s="98"/>
      <c r="DT81" s="98"/>
      <c r="DU81" s="98"/>
      <c r="DV81" s="98"/>
      <c r="DW81" s="98"/>
      <c r="DX81" s="98"/>
      <c r="DY81" s="98"/>
      <c r="DZ81" s="98"/>
      <c r="EA81" s="98"/>
      <c r="EB81" s="98"/>
    </row>
    <row r="82" spans="1:132" x14ac:dyDescent="0.2">
      <c r="A82" s="96"/>
      <c r="B82" s="94"/>
      <c r="C82" s="95"/>
      <c r="D82" s="97"/>
      <c r="E82" s="94"/>
      <c r="F82" s="94"/>
      <c r="G82" s="95"/>
      <c r="H82" s="95"/>
      <c r="I82" s="95"/>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c r="BD82" s="98"/>
      <c r="BE82" s="98"/>
      <c r="BF82" s="98"/>
      <c r="BG82" s="98"/>
      <c r="BH82" s="98"/>
      <c r="BI82" s="98"/>
      <c r="BJ82" s="98"/>
      <c r="BK82" s="98"/>
      <c r="BL82" s="98"/>
      <c r="BM82" s="98"/>
      <c r="BN82" s="98"/>
      <c r="BO82" s="98"/>
      <c r="BP82" s="98"/>
      <c r="BQ82" s="98"/>
      <c r="BR82" s="98"/>
      <c r="BS82" s="98"/>
      <c r="BT82" s="98"/>
      <c r="BU82" s="98"/>
      <c r="BV82" s="98"/>
      <c r="BW82" s="98"/>
      <c r="BX82" s="98"/>
      <c r="BY82" s="98"/>
      <c r="BZ82" s="98"/>
      <c r="CA82" s="98"/>
      <c r="CB82" s="98"/>
      <c r="CC82" s="98"/>
      <c r="CD82" s="98"/>
      <c r="CE82" s="98"/>
      <c r="CF82" s="98"/>
      <c r="CG82" s="98"/>
      <c r="CH82" s="98"/>
      <c r="CI82" s="98"/>
      <c r="CJ82" s="98"/>
      <c r="CK82" s="98"/>
      <c r="CL82" s="98"/>
      <c r="CM82" s="98"/>
      <c r="CN82" s="98"/>
      <c r="CO82" s="98"/>
      <c r="CP82" s="98"/>
      <c r="CQ82" s="98"/>
      <c r="CR82" s="98"/>
      <c r="CS82" s="98"/>
      <c r="CT82" s="98"/>
      <c r="CU82" s="98"/>
      <c r="CV82" s="98"/>
      <c r="CW82" s="98"/>
      <c r="CX82" s="98"/>
      <c r="CY82" s="98"/>
      <c r="CZ82" s="98"/>
      <c r="DA82" s="98"/>
      <c r="DB82" s="98"/>
      <c r="DC82" s="98"/>
      <c r="DD82" s="98"/>
      <c r="DE82" s="98"/>
      <c r="DF82" s="98"/>
      <c r="DG82" s="98"/>
      <c r="DH82" s="98"/>
      <c r="DI82" s="98"/>
      <c r="DJ82" s="98"/>
      <c r="DK82" s="98"/>
      <c r="DL82" s="98"/>
      <c r="DM82" s="98"/>
      <c r="DN82" s="98"/>
      <c r="DO82" s="98"/>
      <c r="DP82" s="98"/>
      <c r="DQ82" s="98"/>
      <c r="DR82" s="98"/>
      <c r="DS82" s="98"/>
      <c r="DT82" s="98"/>
      <c r="DU82" s="98"/>
      <c r="DV82" s="98"/>
      <c r="DW82" s="98"/>
      <c r="DX82" s="98"/>
      <c r="DY82" s="98"/>
      <c r="DZ82" s="98"/>
      <c r="EA82" s="98"/>
      <c r="EB82" s="98"/>
    </row>
    <row r="83" spans="1:132" x14ac:dyDescent="0.2">
      <c r="A83" s="96"/>
      <c r="B83" s="94"/>
      <c r="C83" s="95"/>
      <c r="D83" s="97"/>
      <c r="E83" s="94"/>
      <c r="F83" s="94"/>
      <c r="G83" s="95"/>
      <c r="H83" s="95"/>
      <c r="I83" s="95"/>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c r="BD83" s="98"/>
      <c r="BE83" s="98"/>
      <c r="BF83" s="98"/>
      <c r="BG83" s="98"/>
      <c r="BH83" s="98"/>
      <c r="BI83" s="98"/>
      <c r="BJ83" s="98"/>
      <c r="BK83" s="98"/>
      <c r="BL83" s="98"/>
      <c r="BM83" s="98"/>
      <c r="BN83" s="98"/>
      <c r="BO83" s="98"/>
      <c r="BP83" s="98"/>
      <c r="BQ83" s="98"/>
      <c r="BR83" s="98"/>
      <c r="BS83" s="98"/>
      <c r="BT83" s="98"/>
      <c r="BU83" s="98"/>
      <c r="BV83" s="98"/>
      <c r="BW83" s="98"/>
      <c r="BX83" s="98"/>
      <c r="BY83" s="98"/>
      <c r="BZ83" s="98"/>
      <c r="CA83" s="98"/>
      <c r="CB83" s="98"/>
      <c r="CC83" s="98"/>
      <c r="CD83" s="98"/>
      <c r="CE83" s="98"/>
      <c r="CF83" s="98"/>
      <c r="CG83" s="98"/>
      <c r="CH83" s="98"/>
      <c r="CI83" s="98"/>
      <c r="CJ83" s="98"/>
      <c r="CK83" s="98"/>
      <c r="CL83" s="98"/>
      <c r="CM83" s="98"/>
      <c r="CN83" s="98"/>
      <c r="CO83" s="98"/>
      <c r="CP83" s="98"/>
      <c r="CQ83" s="98"/>
      <c r="CR83" s="98"/>
      <c r="CS83" s="98"/>
      <c r="CT83" s="98"/>
      <c r="CU83" s="98"/>
      <c r="CV83" s="98"/>
      <c r="CW83" s="98"/>
      <c r="CX83" s="98"/>
      <c r="CY83" s="98"/>
      <c r="CZ83" s="98"/>
      <c r="DA83" s="98"/>
      <c r="DB83" s="98"/>
      <c r="DC83" s="98"/>
      <c r="DD83" s="98"/>
      <c r="DE83" s="98"/>
      <c r="DF83" s="98"/>
      <c r="DG83" s="98"/>
      <c r="DH83" s="98"/>
      <c r="DI83" s="98"/>
      <c r="DJ83" s="98"/>
      <c r="DK83" s="98"/>
      <c r="DL83" s="98"/>
      <c r="DM83" s="98"/>
      <c r="DN83" s="98"/>
      <c r="DO83" s="98"/>
      <c r="DP83" s="98"/>
      <c r="DQ83" s="98"/>
      <c r="DR83" s="98"/>
      <c r="DS83" s="98"/>
      <c r="DT83" s="98"/>
      <c r="DU83" s="98"/>
      <c r="DV83" s="98"/>
      <c r="DW83" s="98"/>
      <c r="DX83" s="98"/>
      <c r="DY83" s="98"/>
      <c r="DZ83" s="98"/>
      <c r="EA83" s="98"/>
      <c r="EB83" s="98"/>
    </row>
    <row r="84" spans="1:132" x14ac:dyDescent="0.2">
      <c r="A84" s="96"/>
      <c r="B84" s="94"/>
      <c r="C84" s="95"/>
      <c r="D84" s="97"/>
      <c r="E84" s="94"/>
      <c r="F84" s="94"/>
      <c r="G84" s="95"/>
      <c r="H84" s="95"/>
      <c r="I84" s="95"/>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c r="BD84" s="98"/>
      <c r="BE84" s="98"/>
      <c r="BF84" s="98"/>
      <c r="BG84" s="98"/>
      <c r="BH84" s="98"/>
      <c r="BI84" s="98"/>
      <c r="BJ84" s="98"/>
      <c r="BK84" s="98"/>
      <c r="BL84" s="98"/>
      <c r="BM84" s="98"/>
      <c r="BN84" s="98"/>
      <c r="BO84" s="98"/>
      <c r="BP84" s="98"/>
      <c r="BQ84" s="98"/>
      <c r="BR84" s="98"/>
      <c r="BS84" s="98"/>
      <c r="BT84" s="98"/>
      <c r="BU84" s="98"/>
      <c r="BV84" s="98"/>
      <c r="BW84" s="98"/>
      <c r="BX84" s="98"/>
      <c r="BY84" s="98"/>
      <c r="BZ84" s="98"/>
      <c r="CA84" s="98"/>
      <c r="CB84" s="98"/>
      <c r="CC84" s="98"/>
      <c r="CD84" s="98"/>
      <c r="CE84" s="98"/>
      <c r="CF84" s="98"/>
      <c r="CG84" s="98"/>
      <c r="CH84" s="98"/>
      <c r="CI84" s="98"/>
      <c r="CJ84" s="98"/>
      <c r="CK84" s="98"/>
      <c r="CL84" s="98"/>
      <c r="CM84" s="98"/>
      <c r="CN84" s="98"/>
      <c r="CO84" s="98"/>
      <c r="CP84" s="98"/>
      <c r="CQ84" s="98"/>
      <c r="CR84" s="98"/>
      <c r="CS84" s="98"/>
      <c r="CT84" s="98"/>
      <c r="CU84" s="98"/>
      <c r="CV84" s="98"/>
      <c r="CW84" s="98"/>
      <c r="CX84" s="98"/>
      <c r="CY84" s="98"/>
      <c r="CZ84" s="98"/>
      <c r="DA84" s="98"/>
      <c r="DB84" s="98"/>
      <c r="DC84" s="98"/>
      <c r="DD84" s="98"/>
      <c r="DE84" s="98"/>
      <c r="DF84" s="98"/>
      <c r="DG84" s="98"/>
      <c r="DH84" s="98"/>
      <c r="DI84" s="98"/>
      <c r="DJ84" s="98"/>
      <c r="DK84" s="98"/>
      <c r="DL84" s="98"/>
      <c r="DM84" s="98"/>
      <c r="DN84" s="98"/>
      <c r="DO84" s="98"/>
      <c r="DP84" s="98"/>
      <c r="DQ84" s="98"/>
      <c r="DR84" s="98"/>
      <c r="DS84" s="98"/>
      <c r="DT84" s="98"/>
      <c r="DU84" s="98"/>
      <c r="DV84" s="98"/>
      <c r="DW84" s="98"/>
      <c r="DX84" s="98"/>
      <c r="DY84" s="98"/>
      <c r="DZ84" s="98"/>
      <c r="EA84" s="98"/>
      <c r="EB84" s="98"/>
    </row>
    <row r="85" spans="1:132" x14ac:dyDescent="0.2">
      <c r="A85" s="96"/>
      <c r="B85" s="94"/>
      <c r="C85" s="95"/>
      <c r="D85" s="97"/>
      <c r="E85" s="94"/>
      <c r="F85" s="94"/>
      <c r="G85" s="95"/>
      <c r="H85" s="95"/>
      <c r="I85" s="95"/>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c r="BD85" s="98"/>
      <c r="BE85" s="98"/>
      <c r="BF85" s="98"/>
      <c r="BG85" s="98"/>
      <c r="BH85" s="98"/>
      <c r="BI85" s="98"/>
      <c r="BJ85" s="98"/>
      <c r="BK85" s="98"/>
      <c r="BL85" s="98"/>
      <c r="BM85" s="98"/>
      <c r="BN85" s="98"/>
      <c r="BO85" s="98"/>
      <c r="BP85" s="98"/>
      <c r="BQ85" s="98"/>
      <c r="BR85" s="98"/>
      <c r="BS85" s="98"/>
      <c r="BT85" s="98"/>
      <c r="BU85" s="98"/>
      <c r="BV85" s="98"/>
      <c r="BW85" s="98"/>
      <c r="BX85" s="98"/>
      <c r="BY85" s="98"/>
      <c r="BZ85" s="98"/>
      <c r="CA85" s="98"/>
      <c r="CB85" s="98"/>
      <c r="CC85" s="98"/>
      <c r="CD85" s="98"/>
      <c r="CE85" s="98"/>
      <c r="CF85" s="98"/>
      <c r="CG85" s="98"/>
      <c r="CH85" s="98"/>
      <c r="CI85" s="98"/>
      <c r="CJ85" s="98"/>
      <c r="CK85" s="98"/>
      <c r="CL85" s="98"/>
      <c r="CM85" s="98"/>
      <c r="CN85" s="98"/>
      <c r="CO85" s="98"/>
      <c r="CP85" s="98"/>
      <c r="CQ85" s="98"/>
      <c r="CR85" s="98"/>
      <c r="CS85" s="98"/>
      <c r="CT85" s="98"/>
      <c r="CU85" s="98"/>
      <c r="CV85" s="98"/>
      <c r="CW85" s="98"/>
      <c r="CX85" s="98"/>
      <c r="CY85" s="98"/>
      <c r="CZ85" s="98"/>
      <c r="DA85" s="98"/>
      <c r="DB85" s="98"/>
      <c r="DC85" s="98"/>
      <c r="DD85" s="98"/>
      <c r="DE85" s="98"/>
      <c r="DF85" s="98"/>
      <c r="DG85" s="98"/>
      <c r="DH85" s="98"/>
      <c r="DI85" s="98"/>
      <c r="DJ85" s="98"/>
      <c r="DK85" s="98"/>
      <c r="DL85" s="98"/>
      <c r="DM85" s="98"/>
      <c r="DN85" s="98"/>
      <c r="DO85" s="98"/>
      <c r="DP85" s="98"/>
      <c r="DQ85" s="98"/>
      <c r="DR85" s="98"/>
      <c r="DS85" s="98"/>
      <c r="DT85" s="98"/>
      <c r="DU85" s="98"/>
      <c r="DV85" s="98"/>
      <c r="DW85" s="98"/>
      <c r="DX85" s="98"/>
      <c r="DY85" s="98"/>
      <c r="DZ85" s="98"/>
      <c r="EA85" s="98"/>
      <c r="EB85" s="98"/>
    </row>
    <row r="86" spans="1:132" x14ac:dyDescent="0.2">
      <c r="A86" s="96"/>
      <c r="B86" s="94"/>
      <c r="C86" s="95"/>
      <c r="D86" s="97"/>
      <c r="E86" s="94"/>
      <c r="F86" s="94"/>
      <c r="G86" s="95"/>
      <c r="H86" s="95"/>
      <c r="I86" s="95"/>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c r="BD86" s="98"/>
      <c r="BE86" s="98"/>
      <c r="BF86" s="98"/>
      <c r="BG86" s="98"/>
      <c r="BH86" s="98"/>
      <c r="BI86" s="98"/>
      <c r="BJ86" s="98"/>
      <c r="BK86" s="98"/>
      <c r="BL86" s="98"/>
      <c r="BM86" s="98"/>
      <c r="BN86" s="98"/>
      <c r="BO86" s="98"/>
      <c r="BP86" s="98"/>
      <c r="BQ86" s="98"/>
      <c r="BR86" s="98"/>
      <c r="BS86" s="98"/>
      <c r="BT86" s="98"/>
      <c r="BU86" s="98"/>
      <c r="BV86" s="98"/>
      <c r="BW86" s="98"/>
      <c r="BX86" s="98"/>
      <c r="BY86" s="98"/>
      <c r="BZ86" s="98"/>
      <c r="CA86" s="98"/>
      <c r="CB86" s="98"/>
      <c r="CC86" s="98"/>
      <c r="CD86" s="98"/>
      <c r="CE86" s="98"/>
      <c r="CF86" s="98"/>
      <c r="CG86" s="98"/>
      <c r="CH86" s="98"/>
      <c r="CI86" s="98"/>
      <c r="CJ86" s="98"/>
      <c r="CK86" s="98"/>
      <c r="CL86" s="98"/>
      <c r="CM86" s="98"/>
      <c r="CN86" s="98"/>
      <c r="CO86" s="98"/>
      <c r="CP86" s="98"/>
      <c r="CQ86" s="98"/>
      <c r="CR86" s="98"/>
      <c r="CS86" s="98"/>
      <c r="CT86" s="98"/>
      <c r="CU86" s="98"/>
      <c r="CV86" s="98"/>
      <c r="CW86" s="98"/>
      <c r="CX86" s="98"/>
      <c r="CY86" s="98"/>
      <c r="CZ86" s="98"/>
      <c r="DA86" s="98"/>
      <c r="DB86" s="98"/>
      <c r="DC86" s="98"/>
      <c r="DD86" s="98"/>
      <c r="DE86" s="98"/>
      <c r="DF86" s="98"/>
      <c r="DG86" s="98"/>
      <c r="DH86" s="98"/>
      <c r="DI86" s="98"/>
      <c r="DJ86" s="98"/>
      <c r="DK86" s="98"/>
      <c r="DL86" s="98"/>
      <c r="DM86" s="98"/>
      <c r="DN86" s="98"/>
      <c r="DO86" s="98"/>
      <c r="DP86" s="98"/>
      <c r="DQ86" s="98"/>
      <c r="DR86" s="98"/>
      <c r="DS86" s="98"/>
      <c r="DT86" s="98"/>
      <c r="DU86" s="98"/>
      <c r="DV86" s="98"/>
      <c r="DW86" s="98"/>
      <c r="DX86" s="98"/>
      <c r="DY86" s="98"/>
      <c r="DZ86" s="98"/>
      <c r="EA86" s="98"/>
      <c r="EB86" s="98"/>
    </row>
    <row r="87" spans="1:132" x14ac:dyDescent="0.2">
      <c r="A87" s="96"/>
      <c r="B87" s="94"/>
      <c r="C87" s="95"/>
      <c r="D87" s="97"/>
      <c r="E87" s="94"/>
      <c r="F87" s="94"/>
      <c r="G87" s="95"/>
      <c r="H87" s="95"/>
      <c r="I87" s="95"/>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c r="BD87" s="98"/>
      <c r="BE87" s="98"/>
      <c r="BF87" s="98"/>
      <c r="BG87" s="98"/>
      <c r="BH87" s="98"/>
      <c r="BI87" s="98"/>
      <c r="BJ87" s="98"/>
      <c r="BK87" s="98"/>
      <c r="BL87" s="98"/>
      <c r="BM87" s="98"/>
      <c r="BN87" s="98"/>
      <c r="BO87" s="98"/>
      <c r="BP87" s="98"/>
      <c r="BQ87" s="98"/>
      <c r="BR87" s="98"/>
      <c r="BS87" s="98"/>
      <c r="BT87" s="98"/>
      <c r="BU87" s="98"/>
      <c r="BV87" s="98"/>
      <c r="BW87" s="98"/>
      <c r="BX87" s="98"/>
      <c r="BY87" s="98"/>
      <c r="BZ87" s="98"/>
      <c r="CA87" s="98"/>
      <c r="CB87" s="98"/>
      <c r="CC87" s="98"/>
      <c r="CD87" s="98"/>
      <c r="CE87" s="98"/>
      <c r="CF87" s="98"/>
      <c r="CG87" s="98"/>
      <c r="CH87" s="98"/>
      <c r="CI87" s="98"/>
      <c r="CJ87" s="98"/>
      <c r="CK87" s="98"/>
      <c r="CL87" s="98"/>
      <c r="CM87" s="98"/>
      <c r="CN87" s="98"/>
      <c r="CO87" s="98"/>
      <c r="CP87" s="98"/>
      <c r="CQ87" s="98"/>
      <c r="CR87" s="98"/>
      <c r="CS87" s="98"/>
      <c r="CT87" s="98"/>
      <c r="CU87" s="98"/>
      <c r="CV87" s="98"/>
      <c r="CW87" s="98"/>
      <c r="CX87" s="98"/>
      <c r="CY87" s="98"/>
      <c r="CZ87" s="98"/>
      <c r="DA87" s="98"/>
      <c r="DB87" s="98"/>
      <c r="DC87" s="98"/>
      <c r="DD87" s="98"/>
      <c r="DE87" s="98"/>
      <c r="DF87" s="98"/>
      <c r="DG87" s="98"/>
      <c r="DH87" s="98"/>
      <c r="DI87" s="98"/>
      <c r="DJ87" s="98"/>
      <c r="DK87" s="98"/>
      <c r="DL87" s="98"/>
      <c r="DM87" s="98"/>
      <c r="DN87" s="98"/>
      <c r="DO87" s="98"/>
      <c r="DP87" s="98"/>
      <c r="DQ87" s="98"/>
      <c r="DR87" s="98"/>
      <c r="DS87" s="98"/>
      <c r="DT87" s="98"/>
      <c r="DU87" s="98"/>
      <c r="DV87" s="98"/>
      <c r="DW87" s="98"/>
      <c r="DX87" s="98"/>
      <c r="DY87" s="98"/>
      <c r="DZ87" s="98"/>
      <c r="EA87" s="98"/>
      <c r="EB87" s="98"/>
    </row>
    <row r="88" spans="1:132" x14ac:dyDescent="0.2">
      <c r="A88" s="96"/>
      <c r="B88" s="94"/>
      <c r="C88" s="95"/>
      <c r="D88" s="97"/>
      <c r="E88" s="94"/>
      <c r="F88" s="94"/>
      <c r="G88" s="95"/>
      <c r="H88" s="95"/>
      <c r="I88" s="95"/>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c r="BD88" s="98"/>
      <c r="BE88" s="98"/>
      <c r="BF88" s="98"/>
      <c r="BG88" s="98"/>
      <c r="BH88" s="98"/>
      <c r="BI88" s="98"/>
      <c r="BJ88" s="98"/>
      <c r="BK88" s="98"/>
      <c r="BL88" s="98"/>
      <c r="BM88" s="98"/>
      <c r="BN88" s="98"/>
      <c r="BO88" s="98"/>
      <c r="BP88" s="98"/>
      <c r="BQ88" s="98"/>
      <c r="BR88" s="98"/>
      <c r="BS88" s="98"/>
      <c r="BT88" s="98"/>
      <c r="BU88" s="98"/>
      <c r="BV88" s="98"/>
      <c r="BW88" s="98"/>
      <c r="BX88" s="98"/>
      <c r="BY88" s="98"/>
      <c r="BZ88" s="98"/>
      <c r="CA88" s="98"/>
      <c r="CB88" s="98"/>
      <c r="CC88" s="98"/>
      <c r="CD88" s="98"/>
      <c r="CE88" s="98"/>
      <c r="CF88" s="98"/>
      <c r="CG88" s="98"/>
      <c r="CH88" s="98"/>
      <c r="CI88" s="98"/>
      <c r="CJ88" s="98"/>
      <c r="CK88" s="98"/>
      <c r="CL88" s="98"/>
      <c r="CM88" s="98"/>
      <c r="CN88" s="98"/>
      <c r="CO88" s="98"/>
      <c r="CP88" s="98"/>
      <c r="CQ88" s="98"/>
      <c r="CR88" s="98"/>
      <c r="CS88" s="98"/>
      <c r="CT88" s="98"/>
      <c r="CU88" s="98"/>
      <c r="CV88" s="98"/>
      <c r="CW88" s="98"/>
      <c r="CX88" s="98"/>
      <c r="CY88" s="98"/>
      <c r="CZ88" s="98"/>
      <c r="DA88" s="98"/>
      <c r="DB88" s="98"/>
      <c r="DC88" s="98"/>
      <c r="DD88" s="98"/>
      <c r="DE88" s="98"/>
      <c r="DF88" s="98"/>
      <c r="DG88" s="98"/>
      <c r="DH88" s="98"/>
      <c r="DI88" s="98"/>
      <c r="DJ88" s="98"/>
      <c r="DK88" s="98"/>
      <c r="DL88" s="98"/>
      <c r="DM88" s="98"/>
      <c r="DN88" s="98"/>
      <c r="DO88" s="98"/>
      <c r="DP88" s="98"/>
      <c r="DQ88" s="98"/>
      <c r="DR88" s="98"/>
      <c r="DS88" s="98"/>
      <c r="DT88" s="98"/>
      <c r="DU88" s="98"/>
      <c r="DV88" s="98"/>
      <c r="DW88" s="98"/>
      <c r="DX88" s="98"/>
      <c r="DY88" s="98"/>
      <c r="DZ88" s="98"/>
      <c r="EA88" s="98"/>
      <c r="EB88" s="98"/>
    </row>
    <row r="89" spans="1:132" x14ac:dyDescent="0.2">
      <c r="A89" s="96"/>
      <c r="B89" s="94"/>
      <c r="C89" s="95"/>
      <c r="D89" s="97"/>
      <c r="E89" s="94"/>
      <c r="F89" s="94"/>
      <c r="G89" s="95"/>
      <c r="H89" s="95"/>
      <c r="I89" s="95"/>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98"/>
      <c r="BB89" s="98"/>
      <c r="BC89" s="98"/>
      <c r="BD89" s="98"/>
      <c r="BE89" s="98"/>
      <c r="BF89" s="98"/>
      <c r="BG89" s="98"/>
      <c r="BH89" s="98"/>
      <c r="BI89" s="98"/>
      <c r="BJ89" s="98"/>
      <c r="BK89" s="98"/>
      <c r="BL89" s="98"/>
      <c r="BM89" s="98"/>
      <c r="BN89" s="98"/>
      <c r="BO89" s="98"/>
      <c r="BP89" s="98"/>
      <c r="BQ89" s="98"/>
      <c r="BR89" s="98"/>
      <c r="BS89" s="98"/>
      <c r="BT89" s="98"/>
      <c r="BU89" s="98"/>
      <c r="BV89" s="98"/>
      <c r="BW89" s="98"/>
      <c r="BX89" s="98"/>
      <c r="BY89" s="98"/>
      <c r="BZ89" s="98"/>
      <c r="CA89" s="98"/>
      <c r="CB89" s="98"/>
      <c r="CC89" s="98"/>
      <c r="CD89" s="98"/>
      <c r="CE89" s="98"/>
      <c r="CF89" s="98"/>
      <c r="CG89" s="98"/>
      <c r="CH89" s="98"/>
      <c r="CI89" s="98"/>
      <c r="CJ89" s="98"/>
      <c r="CK89" s="98"/>
      <c r="CL89" s="98"/>
      <c r="CM89" s="98"/>
      <c r="CN89" s="98"/>
      <c r="CO89" s="98"/>
      <c r="CP89" s="98"/>
      <c r="CQ89" s="98"/>
      <c r="CR89" s="98"/>
      <c r="CS89" s="98"/>
      <c r="CT89" s="98"/>
      <c r="CU89" s="98"/>
      <c r="CV89" s="98"/>
      <c r="CW89" s="98"/>
      <c r="CX89" s="98"/>
      <c r="CY89" s="98"/>
      <c r="CZ89" s="98"/>
      <c r="DA89" s="98"/>
      <c r="DB89" s="98"/>
      <c r="DC89" s="98"/>
      <c r="DD89" s="98"/>
      <c r="DE89" s="98"/>
      <c r="DF89" s="98"/>
      <c r="DG89" s="98"/>
      <c r="DH89" s="98"/>
      <c r="DI89" s="98"/>
      <c r="DJ89" s="98"/>
      <c r="DK89" s="98"/>
      <c r="DL89" s="98"/>
      <c r="DM89" s="98"/>
      <c r="DN89" s="98"/>
      <c r="DO89" s="98"/>
      <c r="DP89" s="98"/>
      <c r="DQ89" s="98"/>
      <c r="DR89" s="98"/>
      <c r="DS89" s="98"/>
      <c r="DT89" s="98"/>
      <c r="DU89" s="98"/>
      <c r="DV89" s="98"/>
      <c r="DW89" s="98"/>
      <c r="DX89" s="98"/>
      <c r="DY89" s="98"/>
      <c r="DZ89" s="98"/>
      <c r="EA89" s="98"/>
      <c r="EB89" s="98"/>
    </row>
    <row r="90" spans="1:132" x14ac:dyDescent="0.2">
      <c r="A90" s="96"/>
      <c r="B90" s="94"/>
      <c r="C90" s="95"/>
      <c r="D90" s="97"/>
      <c r="E90" s="94"/>
      <c r="F90" s="94"/>
      <c r="G90" s="95"/>
      <c r="H90" s="95"/>
      <c r="I90" s="95"/>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98"/>
      <c r="BB90" s="98"/>
      <c r="BC90" s="98"/>
      <c r="BD90" s="98"/>
      <c r="BE90" s="98"/>
      <c r="BF90" s="98"/>
      <c r="BG90" s="98"/>
      <c r="BH90" s="98"/>
      <c r="BI90" s="98"/>
      <c r="BJ90" s="98"/>
      <c r="BK90" s="98"/>
      <c r="BL90" s="98"/>
      <c r="BM90" s="98"/>
      <c r="BN90" s="98"/>
      <c r="BO90" s="98"/>
      <c r="BP90" s="98"/>
      <c r="BQ90" s="98"/>
      <c r="BR90" s="98"/>
      <c r="BS90" s="98"/>
      <c r="BT90" s="98"/>
      <c r="BU90" s="98"/>
      <c r="BV90" s="98"/>
      <c r="BW90" s="98"/>
      <c r="BX90" s="98"/>
      <c r="BY90" s="98"/>
      <c r="BZ90" s="98"/>
      <c r="CA90" s="98"/>
      <c r="CB90" s="98"/>
      <c r="CC90" s="98"/>
      <c r="CD90" s="98"/>
      <c r="CE90" s="98"/>
      <c r="CF90" s="98"/>
      <c r="CG90" s="98"/>
      <c r="CH90" s="98"/>
      <c r="CI90" s="98"/>
      <c r="CJ90" s="98"/>
      <c r="CK90" s="98"/>
      <c r="CL90" s="98"/>
      <c r="CM90" s="98"/>
      <c r="CN90" s="98"/>
      <c r="CO90" s="98"/>
      <c r="CP90" s="98"/>
      <c r="CQ90" s="98"/>
      <c r="CR90" s="98"/>
      <c r="CS90" s="98"/>
      <c r="CT90" s="98"/>
      <c r="CU90" s="98"/>
      <c r="CV90" s="98"/>
      <c r="CW90" s="98"/>
      <c r="CX90" s="98"/>
      <c r="CY90" s="98"/>
      <c r="CZ90" s="98"/>
      <c r="DA90" s="98"/>
      <c r="DB90" s="98"/>
      <c r="DC90" s="98"/>
      <c r="DD90" s="98"/>
      <c r="DE90" s="98"/>
      <c r="DF90" s="98"/>
      <c r="DG90" s="98"/>
      <c r="DH90" s="98"/>
      <c r="DI90" s="98"/>
      <c r="DJ90" s="98"/>
      <c r="DK90" s="98"/>
      <c r="DL90" s="98"/>
      <c r="DM90" s="98"/>
      <c r="DN90" s="98"/>
      <c r="DO90" s="98"/>
      <c r="DP90" s="98"/>
      <c r="DQ90" s="98"/>
      <c r="DR90" s="98"/>
      <c r="DS90" s="98"/>
      <c r="DT90" s="98"/>
      <c r="DU90" s="98"/>
      <c r="DV90" s="98"/>
      <c r="DW90" s="98"/>
      <c r="DX90" s="98"/>
      <c r="DY90" s="98"/>
      <c r="DZ90" s="98"/>
      <c r="EA90" s="98"/>
      <c r="EB90" s="98"/>
    </row>
    <row r="91" spans="1:132" x14ac:dyDescent="0.2">
      <c r="A91" s="96"/>
      <c r="B91" s="94"/>
      <c r="C91" s="95"/>
      <c r="D91" s="97"/>
      <c r="E91" s="94"/>
      <c r="F91" s="94"/>
      <c r="G91" s="95"/>
      <c r="H91" s="95"/>
      <c r="I91" s="95"/>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98"/>
      <c r="BB91" s="98"/>
      <c r="BC91" s="98"/>
      <c r="BD91" s="98"/>
      <c r="BE91" s="98"/>
      <c r="BF91" s="98"/>
      <c r="BG91" s="98"/>
      <c r="BH91" s="98"/>
      <c r="BI91" s="98"/>
      <c r="BJ91" s="98"/>
      <c r="BK91" s="98"/>
      <c r="BL91" s="98"/>
      <c r="BM91" s="98"/>
      <c r="BN91" s="98"/>
      <c r="BO91" s="98"/>
      <c r="BP91" s="98"/>
      <c r="BQ91" s="98"/>
      <c r="BR91" s="98"/>
      <c r="BS91" s="98"/>
      <c r="BT91" s="98"/>
      <c r="BU91" s="98"/>
      <c r="BV91" s="98"/>
      <c r="BW91" s="98"/>
      <c r="BX91" s="98"/>
      <c r="BY91" s="98"/>
      <c r="BZ91" s="98"/>
      <c r="CA91" s="98"/>
      <c r="CB91" s="98"/>
      <c r="CC91" s="98"/>
      <c r="CD91" s="98"/>
      <c r="CE91" s="98"/>
      <c r="CF91" s="98"/>
      <c r="CG91" s="98"/>
      <c r="CH91" s="98"/>
      <c r="CI91" s="98"/>
      <c r="CJ91" s="98"/>
      <c r="CK91" s="98"/>
      <c r="CL91" s="98"/>
      <c r="CM91" s="98"/>
      <c r="CN91" s="98"/>
      <c r="CO91" s="98"/>
      <c r="CP91" s="98"/>
      <c r="CQ91" s="98"/>
      <c r="CR91" s="98"/>
      <c r="CS91" s="98"/>
      <c r="CT91" s="98"/>
      <c r="CU91" s="98"/>
      <c r="CV91" s="98"/>
      <c r="CW91" s="98"/>
      <c r="CX91" s="98"/>
      <c r="CY91" s="98"/>
      <c r="CZ91" s="98"/>
      <c r="DA91" s="98"/>
      <c r="DB91" s="98"/>
      <c r="DC91" s="98"/>
      <c r="DD91" s="98"/>
      <c r="DE91" s="98"/>
      <c r="DF91" s="98"/>
      <c r="DG91" s="98"/>
      <c r="DH91" s="98"/>
      <c r="DI91" s="98"/>
      <c r="DJ91" s="98"/>
      <c r="DK91" s="98"/>
      <c r="DL91" s="98"/>
      <c r="DM91" s="98"/>
      <c r="DN91" s="98"/>
      <c r="DO91" s="98"/>
      <c r="DP91" s="98"/>
      <c r="DQ91" s="98"/>
      <c r="DR91" s="98"/>
      <c r="DS91" s="98"/>
      <c r="DT91" s="98"/>
      <c r="DU91" s="98"/>
      <c r="DV91" s="98"/>
      <c r="DW91" s="98"/>
      <c r="DX91" s="98"/>
      <c r="DY91" s="98"/>
      <c r="DZ91" s="98"/>
      <c r="EA91" s="98"/>
      <c r="EB91" s="98"/>
    </row>
    <row r="92" spans="1:132" x14ac:dyDescent="0.2">
      <c r="A92" s="96"/>
      <c r="B92" s="94"/>
      <c r="C92" s="95"/>
      <c r="D92" s="97"/>
      <c r="E92" s="94"/>
      <c r="F92" s="94"/>
      <c r="G92" s="95"/>
      <c r="H92" s="95"/>
      <c r="I92" s="95"/>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98"/>
      <c r="BB92" s="98"/>
      <c r="BC92" s="98"/>
      <c r="BD92" s="98"/>
      <c r="BE92" s="98"/>
      <c r="BF92" s="98"/>
      <c r="BG92" s="98"/>
      <c r="BH92" s="98"/>
      <c r="BI92" s="98"/>
      <c r="BJ92" s="98"/>
      <c r="BK92" s="98"/>
      <c r="BL92" s="98"/>
      <c r="BM92" s="98"/>
      <c r="BN92" s="98"/>
      <c r="BO92" s="98"/>
      <c r="BP92" s="98"/>
      <c r="BQ92" s="98"/>
      <c r="BR92" s="98"/>
      <c r="BS92" s="98"/>
      <c r="BT92" s="98"/>
      <c r="BU92" s="98"/>
      <c r="BV92" s="98"/>
      <c r="BW92" s="98"/>
      <c r="BX92" s="98"/>
      <c r="BY92" s="98"/>
      <c r="BZ92" s="98"/>
      <c r="CA92" s="98"/>
      <c r="CB92" s="98"/>
      <c r="CC92" s="98"/>
      <c r="CD92" s="98"/>
      <c r="CE92" s="98"/>
      <c r="CF92" s="98"/>
      <c r="CG92" s="98"/>
      <c r="CH92" s="98"/>
      <c r="CI92" s="98"/>
      <c r="CJ92" s="98"/>
      <c r="CK92" s="98"/>
      <c r="CL92" s="98"/>
      <c r="CM92" s="98"/>
      <c r="CN92" s="98"/>
      <c r="CO92" s="98"/>
      <c r="CP92" s="98"/>
      <c r="CQ92" s="98"/>
      <c r="CR92" s="98"/>
      <c r="CS92" s="98"/>
      <c r="CT92" s="98"/>
      <c r="CU92" s="98"/>
      <c r="CV92" s="98"/>
      <c r="CW92" s="98"/>
      <c r="CX92" s="98"/>
      <c r="CY92" s="98"/>
      <c r="CZ92" s="98"/>
      <c r="DA92" s="98"/>
      <c r="DB92" s="98"/>
      <c r="DC92" s="98"/>
      <c r="DD92" s="98"/>
      <c r="DE92" s="98"/>
      <c r="DF92" s="98"/>
      <c r="DG92" s="98"/>
      <c r="DH92" s="98"/>
      <c r="DI92" s="98"/>
      <c r="DJ92" s="98"/>
      <c r="DK92" s="98"/>
      <c r="DL92" s="98"/>
      <c r="DM92" s="98"/>
      <c r="DN92" s="98"/>
      <c r="DO92" s="98"/>
      <c r="DP92" s="98"/>
      <c r="DQ92" s="98"/>
      <c r="DR92" s="98"/>
      <c r="DS92" s="98"/>
      <c r="DT92" s="98"/>
      <c r="DU92" s="98"/>
      <c r="DV92" s="98"/>
      <c r="DW92" s="98"/>
      <c r="DX92" s="98"/>
      <c r="DY92" s="98"/>
      <c r="DZ92" s="98"/>
      <c r="EA92" s="98"/>
      <c r="EB92" s="98"/>
    </row>
    <row r="93" spans="1:132" x14ac:dyDescent="0.2">
      <c r="A93" s="96"/>
      <c r="B93" s="94"/>
      <c r="C93" s="95"/>
      <c r="D93" s="97"/>
      <c r="E93" s="94"/>
      <c r="F93" s="94"/>
      <c r="G93" s="95"/>
      <c r="H93" s="95"/>
      <c r="I93" s="95"/>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c r="BD93" s="98"/>
      <c r="BE93" s="98"/>
      <c r="BF93" s="98"/>
      <c r="BG93" s="98"/>
      <c r="BH93" s="98"/>
      <c r="BI93" s="98"/>
      <c r="BJ93" s="98"/>
      <c r="BK93" s="98"/>
      <c r="BL93" s="98"/>
      <c r="BM93" s="98"/>
      <c r="BN93" s="98"/>
      <c r="BO93" s="98"/>
      <c r="BP93" s="98"/>
      <c r="BQ93" s="98"/>
      <c r="BR93" s="98"/>
      <c r="BS93" s="98"/>
      <c r="BT93" s="98"/>
      <c r="BU93" s="98"/>
      <c r="BV93" s="98"/>
      <c r="BW93" s="98"/>
      <c r="BX93" s="98"/>
      <c r="BY93" s="98"/>
      <c r="BZ93" s="98"/>
      <c r="CA93" s="98"/>
      <c r="CB93" s="98"/>
      <c r="CC93" s="98"/>
      <c r="CD93" s="98"/>
      <c r="CE93" s="98"/>
      <c r="CF93" s="98"/>
      <c r="CG93" s="98"/>
      <c r="CH93" s="98"/>
      <c r="CI93" s="98"/>
      <c r="CJ93" s="98"/>
      <c r="CK93" s="98"/>
      <c r="CL93" s="98"/>
      <c r="CM93" s="98"/>
      <c r="CN93" s="98"/>
      <c r="CO93" s="98"/>
      <c r="CP93" s="98"/>
      <c r="CQ93" s="98"/>
      <c r="CR93" s="98"/>
      <c r="CS93" s="98"/>
      <c r="CT93" s="98"/>
      <c r="CU93" s="98"/>
      <c r="CV93" s="98"/>
      <c r="CW93" s="98"/>
      <c r="CX93" s="98"/>
      <c r="CY93" s="98"/>
      <c r="CZ93" s="98"/>
      <c r="DA93" s="98"/>
      <c r="DB93" s="98"/>
      <c r="DC93" s="98"/>
      <c r="DD93" s="98"/>
      <c r="DE93" s="98"/>
      <c r="DF93" s="98"/>
      <c r="DG93" s="98"/>
      <c r="DH93" s="98"/>
      <c r="DI93" s="98"/>
      <c r="DJ93" s="98"/>
      <c r="DK93" s="98"/>
      <c r="DL93" s="98"/>
      <c r="DM93" s="98"/>
      <c r="DN93" s="98"/>
      <c r="DO93" s="98"/>
      <c r="DP93" s="98"/>
      <c r="DQ93" s="98"/>
      <c r="DR93" s="98"/>
      <c r="DS93" s="98"/>
      <c r="DT93" s="98"/>
      <c r="DU93" s="98"/>
      <c r="DV93" s="98"/>
      <c r="DW93" s="98"/>
      <c r="DX93" s="98"/>
      <c r="DY93" s="98"/>
      <c r="DZ93" s="98"/>
      <c r="EA93" s="98"/>
      <c r="EB93" s="98"/>
    </row>
    <row r="94" spans="1:132" x14ac:dyDescent="0.2">
      <c r="A94" s="96"/>
      <c r="B94" s="94"/>
      <c r="C94" s="95"/>
      <c r="D94" s="97"/>
      <c r="E94" s="94"/>
      <c r="F94" s="94"/>
      <c r="G94" s="95"/>
      <c r="H94" s="95"/>
      <c r="I94" s="95"/>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98"/>
      <c r="DY94" s="98"/>
      <c r="DZ94" s="98"/>
      <c r="EA94" s="98"/>
      <c r="EB94" s="98"/>
    </row>
    <row r="95" spans="1:132" x14ac:dyDescent="0.2">
      <c r="A95" s="96"/>
      <c r="B95" s="94"/>
      <c r="C95" s="95"/>
      <c r="D95" s="97"/>
      <c r="E95" s="94"/>
      <c r="F95" s="94"/>
      <c r="G95" s="95"/>
      <c r="H95" s="95"/>
      <c r="I95" s="95"/>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98"/>
      <c r="DY95" s="98"/>
      <c r="DZ95" s="98"/>
      <c r="EA95" s="98"/>
      <c r="EB95" s="98"/>
    </row>
    <row r="96" spans="1:132" x14ac:dyDescent="0.2">
      <c r="A96" s="96"/>
      <c r="B96" s="94"/>
      <c r="C96" s="95"/>
      <c r="D96" s="97"/>
      <c r="E96" s="94"/>
      <c r="F96" s="94"/>
      <c r="G96" s="95"/>
      <c r="H96" s="95"/>
      <c r="I96" s="95"/>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98"/>
      <c r="BB96" s="98"/>
      <c r="BC96" s="98"/>
      <c r="BD96" s="98"/>
      <c r="BE96" s="98"/>
      <c r="BF96" s="98"/>
      <c r="BG96" s="98"/>
      <c r="BH96" s="98"/>
      <c r="BI96" s="98"/>
      <c r="BJ96" s="98"/>
      <c r="BK96" s="98"/>
      <c r="BL96" s="98"/>
      <c r="BM96" s="98"/>
      <c r="BN96" s="98"/>
      <c r="BO96" s="98"/>
      <c r="BP96" s="98"/>
      <c r="BQ96" s="98"/>
      <c r="BR96" s="98"/>
      <c r="BS96" s="98"/>
      <c r="BT96" s="98"/>
      <c r="BU96" s="98"/>
      <c r="BV96" s="98"/>
      <c r="BW96" s="98"/>
      <c r="BX96" s="98"/>
      <c r="BY96" s="98"/>
      <c r="BZ96" s="98"/>
      <c r="CA96" s="98"/>
      <c r="CB96" s="98"/>
      <c r="CC96" s="98"/>
      <c r="CD96" s="98"/>
      <c r="CE96" s="98"/>
      <c r="CF96" s="98"/>
      <c r="CG96" s="98"/>
      <c r="CH96" s="98"/>
      <c r="CI96" s="98"/>
      <c r="CJ96" s="98"/>
      <c r="CK96" s="98"/>
      <c r="CL96" s="98"/>
      <c r="CM96" s="98"/>
      <c r="CN96" s="98"/>
      <c r="CO96" s="98"/>
      <c r="CP96" s="98"/>
      <c r="CQ96" s="98"/>
      <c r="CR96" s="98"/>
      <c r="CS96" s="98"/>
      <c r="CT96" s="98"/>
      <c r="CU96" s="98"/>
      <c r="CV96" s="98"/>
      <c r="CW96" s="98"/>
      <c r="CX96" s="98"/>
      <c r="CY96" s="98"/>
      <c r="CZ96" s="98"/>
      <c r="DA96" s="98"/>
      <c r="DB96" s="98"/>
      <c r="DC96" s="98"/>
      <c r="DD96" s="98"/>
      <c r="DE96" s="98"/>
      <c r="DF96" s="98"/>
      <c r="DG96" s="98"/>
      <c r="DH96" s="98"/>
      <c r="DI96" s="98"/>
      <c r="DJ96" s="98"/>
      <c r="DK96" s="98"/>
      <c r="DL96" s="98"/>
      <c r="DM96" s="98"/>
      <c r="DN96" s="98"/>
      <c r="DO96" s="98"/>
      <c r="DP96" s="98"/>
      <c r="DQ96" s="98"/>
      <c r="DR96" s="98"/>
      <c r="DS96" s="98"/>
      <c r="DT96" s="98"/>
      <c r="DU96" s="98"/>
      <c r="DV96" s="98"/>
      <c r="DW96" s="98"/>
      <c r="DX96" s="98"/>
      <c r="DY96" s="98"/>
      <c r="DZ96" s="98"/>
      <c r="EA96" s="98"/>
      <c r="EB96" s="98"/>
    </row>
    <row r="97" spans="1:132" x14ac:dyDescent="0.2">
      <c r="A97" s="96"/>
      <c r="B97" s="94"/>
      <c r="C97" s="95"/>
      <c r="D97" s="97"/>
      <c r="E97" s="94"/>
      <c r="F97" s="94"/>
      <c r="G97" s="95"/>
      <c r="H97" s="95"/>
      <c r="I97" s="95"/>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98"/>
      <c r="BB97" s="98"/>
      <c r="BC97" s="98"/>
      <c r="BD97" s="98"/>
      <c r="BE97" s="98"/>
      <c r="BF97" s="98"/>
      <c r="BG97" s="98"/>
      <c r="BH97" s="98"/>
      <c r="BI97" s="98"/>
      <c r="BJ97" s="98"/>
      <c r="BK97" s="98"/>
      <c r="BL97" s="98"/>
      <c r="BM97" s="98"/>
      <c r="BN97" s="98"/>
      <c r="BO97" s="98"/>
      <c r="BP97" s="98"/>
      <c r="BQ97" s="98"/>
      <c r="BR97" s="98"/>
      <c r="BS97" s="98"/>
      <c r="BT97" s="98"/>
      <c r="BU97" s="98"/>
      <c r="BV97" s="98"/>
      <c r="BW97" s="98"/>
      <c r="BX97" s="98"/>
      <c r="BY97" s="98"/>
      <c r="BZ97" s="98"/>
      <c r="CA97" s="98"/>
      <c r="CB97" s="98"/>
      <c r="CC97" s="98"/>
      <c r="CD97" s="98"/>
      <c r="CE97" s="98"/>
      <c r="CF97" s="98"/>
      <c r="CG97" s="98"/>
      <c r="CH97" s="98"/>
      <c r="CI97" s="98"/>
      <c r="CJ97" s="98"/>
      <c r="CK97" s="98"/>
      <c r="CL97" s="98"/>
      <c r="CM97" s="98"/>
      <c r="CN97" s="98"/>
      <c r="CO97" s="98"/>
      <c r="CP97" s="98"/>
      <c r="CQ97" s="98"/>
      <c r="CR97" s="98"/>
      <c r="CS97" s="98"/>
      <c r="CT97" s="98"/>
      <c r="CU97" s="98"/>
      <c r="CV97" s="98"/>
      <c r="CW97" s="98"/>
      <c r="CX97" s="98"/>
      <c r="CY97" s="98"/>
      <c r="CZ97" s="98"/>
      <c r="DA97" s="98"/>
      <c r="DB97" s="98"/>
      <c r="DC97" s="98"/>
      <c r="DD97" s="98"/>
      <c r="DE97" s="98"/>
      <c r="DF97" s="98"/>
      <c r="DG97" s="98"/>
      <c r="DH97" s="98"/>
      <c r="DI97" s="98"/>
      <c r="DJ97" s="98"/>
      <c r="DK97" s="98"/>
      <c r="DL97" s="98"/>
      <c r="DM97" s="98"/>
      <c r="DN97" s="98"/>
      <c r="DO97" s="98"/>
      <c r="DP97" s="98"/>
      <c r="DQ97" s="98"/>
      <c r="DR97" s="98"/>
      <c r="DS97" s="98"/>
      <c r="DT97" s="98"/>
      <c r="DU97" s="98"/>
      <c r="DV97" s="98"/>
      <c r="DW97" s="98"/>
      <c r="DX97" s="98"/>
      <c r="DY97" s="98"/>
      <c r="DZ97" s="98"/>
      <c r="EA97" s="98"/>
      <c r="EB97" s="98"/>
    </row>
    <row r="98" spans="1:132" x14ac:dyDescent="0.2">
      <c r="A98" s="96"/>
      <c r="B98" s="94"/>
      <c r="C98" s="95"/>
      <c r="D98" s="97"/>
      <c r="E98" s="94"/>
      <c r="F98" s="94"/>
      <c r="G98" s="95"/>
      <c r="H98" s="95"/>
      <c r="I98" s="95"/>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98"/>
      <c r="BB98" s="98"/>
      <c r="BC98" s="98"/>
      <c r="BD98" s="98"/>
      <c r="BE98" s="98"/>
      <c r="BF98" s="98"/>
      <c r="BG98" s="98"/>
      <c r="BH98" s="98"/>
      <c r="BI98" s="98"/>
      <c r="BJ98" s="98"/>
      <c r="BK98" s="98"/>
      <c r="BL98" s="98"/>
      <c r="BM98" s="98"/>
      <c r="BN98" s="98"/>
      <c r="BO98" s="98"/>
      <c r="BP98" s="98"/>
      <c r="BQ98" s="98"/>
      <c r="BR98" s="98"/>
      <c r="BS98" s="98"/>
      <c r="BT98" s="98"/>
      <c r="BU98" s="98"/>
      <c r="BV98" s="98"/>
      <c r="BW98" s="98"/>
      <c r="BX98" s="98"/>
      <c r="BY98" s="98"/>
      <c r="BZ98" s="98"/>
      <c r="CA98" s="98"/>
      <c r="CB98" s="98"/>
      <c r="CC98" s="98"/>
      <c r="CD98" s="98"/>
      <c r="CE98" s="98"/>
      <c r="CF98" s="98"/>
      <c r="CG98" s="98"/>
      <c r="CH98" s="98"/>
      <c r="CI98" s="98"/>
      <c r="CJ98" s="98"/>
      <c r="CK98" s="98"/>
      <c r="CL98" s="98"/>
      <c r="CM98" s="98"/>
      <c r="CN98" s="98"/>
      <c r="CO98" s="98"/>
      <c r="CP98" s="98"/>
      <c r="CQ98" s="98"/>
      <c r="CR98" s="98"/>
      <c r="CS98" s="98"/>
      <c r="CT98" s="98"/>
      <c r="CU98" s="98"/>
      <c r="CV98" s="98"/>
      <c r="CW98" s="98"/>
      <c r="CX98" s="98"/>
      <c r="CY98" s="98"/>
      <c r="CZ98" s="98"/>
      <c r="DA98" s="98"/>
      <c r="DB98" s="98"/>
      <c r="DC98" s="98"/>
      <c r="DD98" s="98"/>
      <c r="DE98" s="98"/>
      <c r="DF98" s="98"/>
      <c r="DG98" s="98"/>
      <c r="DH98" s="98"/>
      <c r="DI98" s="98"/>
      <c r="DJ98" s="98"/>
      <c r="DK98" s="98"/>
      <c r="DL98" s="98"/>
      <c r="DM98" s="98"/>
      <c r="DN98" s="98"/>
      <c r="DO98" s="98"/>
      <c r="DP98" s="98"/>
      <c r="DQ98" s="98"/>
      <c r="DR98" s="98"/>
      <c r="DS98" s="98"/>
      <c r="DT98" s="98"/>
      <c r="DU98" s="98"/>
      <c r="DV98" s="98"/>
      <c r="DW98" s="98"/>
      <c r="DX98" s="98"/>
      <c r="DY98" s="98"/>
      <c r="DZ98" s="98"/>
      <c r="EA98" s="98"/>
      <c r="EB98" s="98"/>
    </row>
    <row r="99" spans="1:132" x14ac:dyDescent="0.2">
      <c r="A99" s="96"/>
      <c r="B99" s="94"/>
      <c r="C99" s="95"/>
      <c r="D99" s="97"/>
      <c r="E99" s="94"/>
      <c r="F99" s="94"/>
      <c r="G99" s="95"/>
      <c r="H99" s="95"/>
      <c r="I99" s="95"/>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98"/>
      <c r="BB99" s="98"/>
      <c r="BC99" s="98"/>
      <c r="BD99" s="98"/>
      <c r="BE99" s="98"/>
      <c r="BF99" s="98"/>
      <c r="BG99" s="98"/>
      <c r="BH99" s="98"/>
      <c r="BI99" s="98"/>
      <c r="BJ99" s="98"/>
      <c r="BK99" s="98"/>
      <c r="BL99" s="98"/>
      <c r="BM99" s="98"/>
      <c r="BN99" s="98"/>
      <c r="BO99" s="98"/>
      <c r="BP99" s="98"/>
      <c r="BQ99" s="98"/>
      <c r="BR99" s="98"/>
      <c r="BS99" s="98"/>
      <c r="BT99" s="98"/>
      <c r="BU99" s="98"/>
      <c r="BV99" s="98"/>
      <c r="BW99" s="98"/>
      <c r="BX99" s="98"/>
      <c r="BY99" s="98"/>
      <c r="BZ99" s="98"/>
      <c r="CA99" s="98"/>
      <c r="CB99" s="98"/>
      <c r="CC99" s="98"/>
      <c r="CD99" s="98"/>
      <c r="CE99" s="98"/>
      <c r="CF99" s="98"/>
      <c r="CG99" s="98"/>
      <c r="CH99" s="98"/>
      <c r="CI99" s="98"/>
      <c r="CJ99" s="98"/>
      <c r="CK99" s="98"/>
      <c r="CL99" s="98"/>
      <c r="CM99" s="98"/>
      <c r="CN99" s="98"/>
      <c r="CO99" s="98"/>
      <c r="CP99" s="98"/>
      <c r="CQ99" s="98"/>
      <c r="CR99" s="98"/>
      <c r="CS99" s="98"/>
      <c r="CT99" s="98"/>
      <c r="CU99" s="98"/>
      <c r="CV99" s="98"/>
      <c r="CW99" s="98"/>
      <c r="CX99" s="98"/>
      <c r="CY99" s="98"/>
      <c r="CZ99" s="98"/>
      <c r="DA99" s="98"/>
      <c r="DB99" s="98"/>
      <c r="DC99" s="98"/>
      <c r="DD99" s="98"/>
      <c r="DE99" s="98"/>
      <c r="DF99" s="98"/>
      <c r="DG99" s="98"/>
      <c r="DH99" s="98"/>
      <c r="DI99" s="98"/>
      <c r="DJ99" s="98"/>
      <c r="DK99" s="98"/>
      <c r="DL99" s="98"/>
      <c r="DM99" s="98"/>
      <c r="DN99" s="98"/>
      <c r="DO99" s="98"/>
      <c r="DP99" s="98"/>
      <c r="DQ99" s="98"/>
      <c r="DR99" s="98"/>
      <c r="DS99" s="98"/>
      <c r="DT99" s="98"/>
      <c r="DU99" s="98"/>
      <c r="DV99" s="98"/>
      <c r="DW99" s="98"/>
      <c r="DX99" s="98"/>
      <c r="DY99" s="98"/>
      <c r="DZ99" s="98"/>
      <c r="EA99" s="98"/>
      <c r="EB99" s="98"/>
    </row>
    <row r="100" spans="1:132" x14ac:dyDescent="0.2">
      <c r="A100" s="96"/>
      <c r="B100" s="94"/>
      <c r="C100" s="95"/>
      <c r="D100" s="97"/>
      <c r="E100" s="94"/>
      <c r="F100" s="94"/>
      <c r="G100" s="95"/>
      <c r="H100" s="95"/>
      <c r="I100" s="95"/>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98"/>
      <c r="BB100" s="98"/>
      <c r="BC100" s="98"/>
      <c r="BD100" s="98"/>
      <c r="BE100" s="98"/>
      <c r="BF100" s="98"/>
      <c r="BG100" s="98"/>
      <c r="BH100" s="98"/>
      <c r="BI100" s="98"/>
      <c r="BJ100" s="98"/>
      <c r="BK100" s="98"/>
      <c r="BL100" s="98"/>
      <c r="BM100" s="98"/>
      <c r="BN100" s="98"/>
      <c r="BO100" s="98"/>
      <c r="BP100" s="98"/>
      <c r="BQ100" s="98"/>
      <c r="BR100" s="98"/>
      <c r="BS100" s="98"/>
      <c r="BT100" s="98"/>
      <c r="BU100" s="98"/>
      <c r="BV100" s="98"/>
      <c r="BW100" s="98"/>
      <c r="BX100" s="98"/>
      <c r="BY100" s="98"/>
      <c r="BZ100" s="98"/>
      <c r="CA100" s="98"/>
      <c r="CB100" s="98"/>
      <c r="CC100" s="98"/>
      <c r="CD100" s="98"/>
      <c r="CE100" s="98"/>
      <c r="CF100" s="98"/>
      <c r="CG100" s="98"/>
      <c r="CH100" s="98"/>
      <c r="CI100" s="98"/>
      <c r="CJ100" s="98"/>
      <c r="CK100" s="98"/>
      <c r="CL100" s="98"/>
      <c r="CM100" s="98"/>
      <c r="CN100" s="98"/>
      <c r="CO100" s="98"/>
      <c r="CP100" s="98"/>
      <c r="CQ100" s="98"/>
      <c r="CR100" s="98"/>
      <c r="CS100" s="98"/>
      <c r="CT100" s="98"/>
      <c r="CU100" s="98"/>
      <c r="CV100" s="98"/>
      <c r="CW100" s="98"/>
      <c r="CX100" s="98"/>
      <c r="CY100" s="98"/>
      <c r="CZ100" s="98"/>
      <c r="DA100" s="98"/>
      <c r="DB100" s="98"/>
      <c r="DC100" s="98"/>
      <c r="DD100" s="98"/>
      <c r="DE100" s="98"/>
      <c r="DF100" s="98"/>
      <c r="DG100" s="98"/>
      <c r="DH100" s="98"/>
      <c r="DI100" s="98"/>
      <c r="DJ100" s="98"/>
      <c r="DK100" s="98"/>
      <c r="DL100" s="98"/>
      <c r="DM100" s="98"/>
      <c r="DN100" s="98"/>
      <c r="DO100" s="98"/>
      <c r="DP100" s="98"/>
      <c r="DQ100" s="98"/>
      <c r="DR100" s="98"/>
      <c r="DS100" s="98"/>
      <c r="DT100" s="98"/>
      <c r="DU100" s="98"/>
      <c r="DV100" s="98"/>
      <c r="DW100" s="98"/>
      <c r="DX100" s="98"/>
      <c r="DY100" s="98"/>
      <c r="DZ100" s="98"/>
      <c r="EA100" s="98"/>
      <c r="EB100" s="98"/>
    </row>
    <row r="101" spans="1:132" x14ac:dyDescent="0.2">
      <c r="A101" s="96"/>
      <c r="B101" s="94"/>
      <c r="C101" s="95"/>
      <c r="D101" s="97"/>
      <c r="E101" s="94"/>
      <c r="F101" s="94"/>
      <c r="G101" s="95"/>
      <c r="H101" s="95"/>
      <c r="I101" s="95"/>
      <c r="J101" s="98"/>
      <c r="K101" s="98"/>
      <c r="L101" s="98"/>
      <c r="M101" s="98"/>
      <c r="N101" s="98"/>
      <c r="O101" s="98"/>
      <c r="P101" s="98"/>
      <c r="Q101" s="98"/>
      <c r="R101" s="98"/>
      <c r="S101" s="98"/>
      <c r="T101" s="9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98"/>
      <c r="BB101" s="98"/>
      <c r="BC101" s="98"/>
      <c r="BD101" s="98"/>
      <c r="BE101" s="98"/>
      <c r="BF101" s="98"/>
      <c r="BG101" s="98"/>
      <c r="BH101" s="98"/>
      <c r="BI101" s="98"/>
      <c r="BJ101" s="98"/>
      <c r="BK101" s="98"/>
      <c r="BL101" s="98"/>
      <c r="BM101" s="98"/>
      <c r="BN101" s="98"/>
      <c r="BO101" s="98"/>
      <c r="BP101" s="98"/>
      <c r="BQ101" s="98"/>
      <c r="BR101" s="98"/>
      <c r="BS101" s="98"/>
      <c r="BT101" s="98"/>
      <c r="BU101" s="98"/>
      <c r="BV101" s="98"/>
      <c r="BW101" s="98"/>
      <c r="BX101" s="98"/>
      <c r="BY101" s="98"/>
      <c r="BZ101" s="98"/>
      <c r="CA101" s="98"/>
      <c r="CB101" s="98"/>
      <c r="CC101" s="98"/>
      <c r="CD101" s="98"/>
      <c r="CE101" s="98"/>
      <c r="CF101" s="98"/>
      <c r="CG101" s="98"/>
      <c r="CH101" s="98"/>
      <c r="CI101" s="98"/>
      <c r="CJ101" s="98"/>
      <c r="CK101" s="98"/>
      <c r="CL101" s="98"/>
      <c r="CM101" s="98"/>
      <c r="CN101" s="98"/>
      <c r="CO101" s="98"/>
      <c r="CP101" s="98"/>
      <c r="CQ101" s="98"/>
      <c r="CR101" s="98"/>
      <c r="CS101" s="98"/>
      <c r="CT101" s="98"/>
      <c r="CU101" s="98"/>
      <c r="CV101" s="98"/>
      <c r="CW101" s="98"/>
      <c r="CX101" s="98"/>
      <c r="CY101" s="98"/>
      <c r="CZ101" s="98"/>
      <c r="DA101" s="98"/>
      <c r="DB101" s="98"/>
      <c r="DC101" s="98"/>
      <c r="DD101" s="98"/>
      <c r="DE101" s="98"/>
      <c r="DF101" s="98"/>
      <c r="DG101" s="98"/>
      <c r="DH101" s="98"/>
      <c r="DI101" s="98"/>
      <c r="DJ101" s="98"/>
      <c r="DK101" s="98"/>
      <c r="DL101" s="98"/>
      <c r="DM101" s="98"/>
      <c r="DN101" s="98"/>
      <c r="DO101" s="98"/>
      <c r="DP101" s="98"/>
      <c r="DQ101" s="98"/>
      <c r="DR101" s="98"/>
      <c r="DS101" s="98"/>
      <c r="DT101" s="98"/>
      <c r="DU101" s="98"/>
      <c r="DV101" s="98"/>
      <c r="DW101" s="98"/>
      <c r="DX101" s="98"/>
      <c r="DY101" s="98"/>
      <c r="DZ101" s="98"/>
      <c r="EA101" s="98"/>
      <c r="EB101" s="98"/>
    </row>
    <row r="102" spans="1:132" x14ac:dyDescent="0.2">
      <c r="A102" s="96"/>
      <c r="B102" s="94"/>
      <c r="C102" s="95"/>
      <c r="D102" s="97"/>
      <c r="E102" s="94"/>
      <c r="F102" s="94"/>
      <c r="G102" s="95"/>
      <c r="H102" s="95"/>
      <c r="I102" s="95"/>
      <c r="J102" s="98"/>
      <c r="K102" s="9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98"/>
      <c r="BB102" s="98"/>
      <c r="BC102" s="98"/>
      <c r="BD102" s="98"/>
      <c r="BE102" s="98"/>
      <c r="BF102" s="98"/>
      <c r="BG102" s="98"/>
      <c r="BH102" s="98"/>
      <c r="BI102" s="98"/>
      <c r="BJ102" s="98"/>
      <c r="BK102" s="98"/>
      <c r="BL102" s="98"/>
      <c r="BM102" s="98"/>
      <c r="BN102" s="98"/>
      <c r="BO102" s="98"/>
      <c r="BP102" s="98"/>
      <c r="BQ102" s="98"/>
      <c r="BR102" s="98"/>
      <c r="BS102" s="98"/>
      <c r="BT102" s="98"/>
      <c r="BU102" s="98"/>
      <c r="BV102" s="98"/>
      <c r="BW102" s="98"/>
      <c r="BX102" s="98"/>
      <c r="BY102" s="98"/>
      <c r="BZ102" s="98"/>
      <c r="CA102" s="98"/>
      <c r="CB102" s="98"/>
      <c r="CC102" s="98"/>
      <c r="CD102" s="98"/>
      <c r="CE102" s="98"/>
      <c r="CF102" s="98"/>
      <c r="CG102" s="98"/>
      <c r="CH102" s="98"/>
      <c r="CI102" s="98"/>
      <c r="CJ102" s="98"/>
      <c r="CK102" s="98"/>
      <c r="CL102" s="98"/>
      <c r="CM102" s="98"/>
      <c r="CN102" s="98"/>
      <c r="CO102" s="98"/>
      <c r="CP102" s="98"/>
      <c r="CQ102" s="98"/>
      <c r="CR102" s="98"/>
      <c r="CS102" s="98"/>
      <c r="CT102" s="98"/>
      <c r="CU102" s="98"/>
      <c r="CV102" s="98"/>
      <c r="CW102" s="98"/>
      <c r="CX102" s="98"/>
      <c r="CY102" s="98"/>
      <c r="CZ102" s="98"/>
      <c r="DA102" s="98"/>
      <c r="DB102" s="98"/>
      <c r="DC102" s="98"/>
      <c r="DD102" s="98"/>
      <c r="DE102" s="98"/>
      <c r="DF102" s="98"/>
      <c r="DG102" s="98"/>
      <c r="DH102" s="98"/>
      <c r="DI102" s="98"/>
      <c r="DJ102" s="98"/>
      <c r="DK102" s="98"/>
      <c r="DL102" s="98"/>
      <c r="DM102" s="98"/>
      <c r="DN102" s="98"/>
      <c r="DO102" s="98"/>
      <c r="DP102" s="98"/>
      <c r="DQ102" s="98"/>
      <c r="DR102" s="98"/>
      <c r="DS102" s="98"/>
      <c r="DT102" s="98"/>
      <c r="DU102" s="98"/>
      <c r="DV102" s="98"/>
      <c r="DW102" s="98"/>
      <c r="DX102" s="98"/>
      <c r="DY102" s="98"/>
      <c r="DZ102" s="98"/>
      <c r="EA102" s="98"/>
      <c r="EB102" s="98"/>
    </row>
    <row r="103" spans="1:132" x14ac:dyDescent="0.2">
      <c r="A103" s="96"/>
      <c r="B103" s="94"/>
      <c r="C103" s="95"/>
      <c r="D103" s="97"/>
      <c r="E103" s="94"/>
      <c r="F103" s="94"/>
      <c r="G103" s="95"/>
      <c r="H103" s="95"/>
      <c r="I103" s="95"/>
      <c r="J103" s="98"/>
      <c r="K103" s="98"/>
      <c r="L103" s="98"/>
      <c r="M103" s="98"/>
      <c r="N103" s="98"/>
      <c r="O103" s="98"/>
      <c r="P103" s="98"/>
      <c r="Q103" s="98"/>
      <c r="R103" s="98"/>
      <c r="S103" s="98"/>
      <c r="T103" s="9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98"/>
      <c r="BB103" s="98"/>
      <c r="BC103" s="98"/>
      <c r="BD103" s="98"/>
      <c r="BE103" s="98"/>
      <c r="BF103" s="98"/>
      <c r="BG103" s="98"/>
      <c r="BH103" s="98"/>
      <c r="BI103" s="98"/>
      <c r="BJ103" s="98"/>
      <c r="BK103" s="98"/>
      <c r="BL103" s="98"/>
      <c r="BM103" s="98"/>
      <c r="BN103" s="98"/>
      <c r="BO103" s="98"/>
      <c r="BP103" s="98"/>
      <c r="BQ103" s="98"/>
      <c r="BR103" s="98"/>
      <c r="BS103" s="98"/>
      <c r="BT103" s="98"/>
      <c r="BU103" s="98"/>
      <c r="BV103" s="98"/>
      <c r="BW103" s="98"/>
      <c r="BX103" s="98"/>
      <c r="BY103" s="98"/>
      <c r="BZ103" s="98"/>
      <c r="CA103" s="98"/>
      <c r="CB103" s="98"/>
      <c r="CC103" s="98"/>
      <c r="CD103" s="98"/>
      <c r="CE103" s="98"/>
      <c r="CF103" s="98"/>
      <c r="CG103" s="98"/>
      <c r="CH103" s="98"/>
      <c r="CI103" s="98"/>
      <c r="CJ103" s="98"/>
      <c r="CK103" s="98"/>
      <c r="CL103" s="98"/>
      <c r="CM103" s="98"/>
      <c r="CN103" s="98"/>
      <c r="CO103" s="98"/>
      <c r="CP103" s="98"/>
      <c r="CQ103" s="98"/>
      <c r="CR103" s="98"/>
      <c r="CS103" s="98"/>
      <c r="CT103" s="98"/>
      <c r="CU103" s="98"/>
      <c r="CV103" s="98"/>
      <c r="CW103" s="98"/>
      <c r="CX103" s="98"/>
      <c r="CY103" s="98"/>
      <c r="CZ103" s="98"/>
      <c r="DA103" s="98"/>
      <c r="DB103" s="98"/>
      <c r="DC103" s="98"/>
      <c r="DD103" s="98"/>
      <c r="DE103" s="98"/>
      <c r="DF103" s="98"/>
      <c r="DG103" s="98"/>
      <c r="DH103" s="98"/>
      <c r="DI103" s="98"/>
      <c r="DJ103" s="98"/>
      <c r="DK103" s="98"/>
      <c r="DL103" s="98"/>
      <c r="DM103" s="98"/>
      <c r="DN103" s="98"/>
      <c r="DO103" s="98"/>
      <c r="DP103" s="98"/>
      <c r="DQ103" s="98"/>
      <c r="DR103" s="98"/>
      <c r="DS103" s="98"/>
      <c r="DT103" s="98"/>
      <c r="DU103" s="98"/>
      <c r="DV103" s="98"/>
      <c r="DW103" s="98"/>
      <c r="DX103" s="98"/>
      <c r="DY103" s="98"/>
      <c r="DZ103" s="98"/>
      <c r="EA103" s="98"/>
      <c r="EB103" s="98"/>
    </row>
    <row r="104" spans="1:132" x14ac:dyDescent="0.2">
      <c r="A104" s="96"/>
      <c r="B104" s="94"/>
      <c r="C104" s="95"/>
      <c r="D104" s="97"/>
      <c r="E104" s="94"/>
      <c r="F104" s="94"/>
      <c r="G104" s="95"/>
      <c r="H104" s="95"/>
      <c r="I104" s="95"/>
      <c r="J104" s="98"/>
      <c r="K104" s="98"/>
      <c r="L104" s="98"/>
      <c r="M104" s="98"/>
      <c r="N104" s="98"/>
      <c r="O104" s="98"/>
      <c r="P104" s="98"/>
      <c r="Q104" s="98"/>
      <c r="R104" s="98"/>
      <c r="S104" s="98"/>
      <c r="T104" s="9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98"/>
      <c r="BB104" s="98"/>
      <c r="BC104" s="98"/>
      <c r="BD104" s="98"/>
      <c r="BE104" s="98"/>
      <c r="BF104" s="98"/>
      <c r="BG104" s="98"/>
      <c r="BH104" s="98"/>
      <c r="BI104" s="98"/>
      <c r="BJ104" s="98"/>
      <c r="BK104" s="98"/>
      <c r="BL104" s="98"/>
      <c r="BM104" s="98"/>
      <c r="BN104" s="98"/>
      <c r="BO104" s="98"/>
      <c r="BP104" s="98"/>
      <c r="BQ104" s="98"/>
      <c r="BR104" s="98"/>
      <c r="BS104" s="98"/>
      <c r="BT104" s="98"/>
      <c r="BU104" s="98"/>
      <c r="BV104" s="98"/>
      <c r="BW104" s="98"/>
      <c r="BX104" s="98"/>
      <c r="BY104" s="98"/>
      <c r="BZ104" s="98"/>
      <c r="CA104" s="98"/>
      <c r="CB104" s="98"/>
      <c r="CC104" s="98"/>
      <c r="CD104" s="98"/>
      <c r="CE104" s="98"/>
      <c r="CF104" s="98"/>
      <c r="CG104" s="98"/>
      <c r="CH104" s="98"/>
      <c r="CI104" s="98"/>
      <c r="CJ104" s="98"/>
      <c r="CK104" s="98"/>
      <c r="CL104" s="98"/>
      <c r="CM104" s="98"/>
      <c r="CN104" s="98"/>
      <c r="CO104" s="98"/>
      <c r="CP104" s="98"/>
      <c r="CQ104" s="98"/>
      <c r="CR104" s="98"/>
      <c r="CS104" s="98"/>
      <c r="CT104" s="98"/>
      <c r="CU104" s="98"/>
      <c r="CV104" s="98"/>
      <c r="CW104" s="98"/>
      <c r="CX104" s="98"/>
      <c r="CY104" s="98"/>
      <c r="CZ104" s="98"/>
      <c r="DA104" s="98"/>
      <c r="DB104" s="98"/>
      <c r="DC104" s="98"/>
      <c r="DD104" s="98"/>
      <c r="DE104" s="98"/>
      <c r="DF104" s="98"/>
      <c r="DG104" s="98"/>
      <c r="DH104" s="98"/>
      <c r="DI104" s="98"/>
      <c r="DJ104" s="98"/>
      <c r="DK104" s="98"/>
      <c r="DL104" s="98"/>
      <c r="DM104" s="98"/>
      <c r="DN104" s="98"/>
      <c r="DO104" s="98"/>
      <c r="DP104" s="98"/>
      <c r="DQ104" s="98"/>
      <c r="DR104" s="98"/>
      <c r="DS104" s="98"/>
      <c r="DT104" s="98"/>
      <c r="DU104" s="98"/>
      <c r="DV104" s="98"/>
      <c r="DW104" s="98"/>
      <c r="DX104" s="98"/>
      <c r="DY104" s="98"/>
      <c r="DZ104" s="98"/>
      <c r="EA104" s="98"/>
      <c r="EB104" s="98"/>
    </row>
    <row r="105" spans="1:132" x14ac:dyDescent="0.2">
      <c r="A105" s="96"/>
      <c r="B105" s="94"/>
      <c r="C105" s="95"/>
      <c r="D105" s="97"/>
      <c r="E105" s="94"/>
      <c r="F105" s="94"/>
      <c r="G105" s="95"/>
      <c r="H105" s="95"/>
      <c r="I105" s="95"/>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98"/>
      <c r="BB105" s="98"/>
      <c r="BC105" s="98"/>
      <c r="BD105" s="98"/>
      <c r="BE105" s="98"/>
      <c r="BF105" s="98"/>
      <c r="BG105" s="98"/>
      <c r="BH105" s="98"/>
      <c r="BI105" s="98"/>
      <c r="BJ105" s="98"/>
      <c r="BK105" s="98"/>
      <c r="BL105" s="98"/>
      <c r="BM105" s="98"/>
      <c r="BN105" s="98"/>
      <c r="BO105" s="98"/>
      <c r="BP105" s="98"/>
      <c r="BQ105" s="98"/>
      <c r="BR105" s="98"/>
      <c r="BS105" s="98"/>
      <c r="BT105" s="98"/>
      <c r="BU105" s="98"/>
      <c r="BV105" s="98"/>
      <c r="BW105" s="98"/>
      <c r="BX105" s="98"/>
      <c r="BY105" s="98"/>
      <c r="BZ105" s="98"/>
      <c r="CA105" s="98"/>
      <c r="CB105" s="98"/>
      <c r="CC105" s="98"/>
      <c r="CD105" s="98"/>
      <c r="CE105" s="98"/>
      <c r="CF105" s="98"/>
      <c r="CG105" s="98"/>
      <c r="CH105" s="98"/>
      <c r="CI105" s="98"/>
      <c r="CJ105" s="98"/>
      <c r="CK105" s="98"/>
      <c r="CL105" s="98"/>
      <c r="CM105" s="98"/>
      <c r="CN105" s="98"/>
      <c r="CO105" s="98"/>
      <c r="CP105" s="98"/>
      <c r="CQ105" s="98"/>
      <c r="CR105" s="98"/>
      <c r="CS105" s="98"/>
      <c r="CT105" s="98"/>
      <c r="CU105" s="98"/>
      <c r="CV105" s="98"/>
      <c r="CW105" s="98"/>
      <c r="CX105" s="98"/>
      <c r="CY105" s="98"/>
      <c r="CZ105" s="98"/>
      <c r="DA105" s="98"/>
      <c r="DB105" s="98"/>
      <c r="DC105" s="98"/>
      <c r="DD105" s="98"/>
      <c r="DE105" s="98"/>
      <c r="DF105" s="98"/>
      <c r="DG105" s="98"/>
      <c r="DH105" s="98"/>
      <c r="DI105" s="98"/>
      <c r="DJ105" s="98"/>
      <c r="DK105" s="98"/>
      <c r="DL105" s="98"/>
      <c r="DM105" s="98"/>
      <c r="DN105" s="98"/>
      <c r="DO105" s="98"/>
      <c r="DP105" s="98"/>
      <c r="DQ105" s="98"/>
      <c r="DR105" s="98"/>
      <c r="DS105" s="98"/>
      <c r="DT105" s="98"/>
      <c r="DU105" s="98"/>
      <c r="DV105" s="98"/>
      <c r="DW105" s="98"/>
      <c r="DX105" s="98"/>
      <c r="DY105" s="98"/>
      <c r="DZ105" s="98"/>
      <c r="EA105" s="98"/>
      <c r="EB105" s="98"/>
    </row>
    <row r="106" spans="1:132" x14ac:dyDescent="0.2">
      <c r="A106" s="96"/>
      <c r="B106" s="94"/>
      <c r="C106" s="95"/>
      <c r="D106" s="97"/>
      <c r="E106" s="94"/>
      <c r="F106" s="94"/>
      <c r="G106" s="95"/>
      <c r="H106" s="95"/>
      <c r="I106" s="95"/>
      <c r="J106" s="98"/>
      <c r="K106" s="98"/>
      <c r="L106" s="98"/>
      <c r="M106" s="98"/>
      <c r="N106" s="98"/>
      <c r="O106" s="98"/>
      <c r="P106" s="98"/>
      <c r="Q106" s="98"/>
      <c r="R106" s="98"/>
      <c r="S106" s="98"/>
      <c r="T106" s="9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98"/>
      <c r="BB106" s="98"/>
      <c r="BC106" s="98"/>
      <c r="BD106" s="98"/>
      <c r="BE106" s="98"/>
      <c r="BF106" s="98"/>
      <c r="BG106" s="98"/>
      <c r="BH106" s="98"/>
      <c r="BI106" s="98"/>
      <c r="BJ106" s="98"/>
      <c r="BK106" s="98"/>
      <c r="BL106" s="98"/>
      <c r="BM106" s="98"/>
      <c r="BN106" s="98"/>
      <c r="BO106" s="98"/>
      <c r="BP106" s="98"/>
      <c r="BQ106" s="98"/>
      <c r="BR106" s="98"/>
      <c r="BS106" s="98"/>
      <c r="BT106" s="98"/>
      <c r="BU106" s="98"/>
      <c r="BV106" s="98"/>
      <c r="BW106" s="98"/>
      <c r="BX106" s="98"/>
      <c r="BY106" s="98"/>
      <c r="BZ106" s="98"/>
      <c r="CA106" s="98"/>
      <c r="CB106" s="98"/>
      <c r="CC106" s="98"/>
      <c r="CD106" s="98"/>
      <c r="CE106" s="98"/>
      <c r="CF106" s="98"/>
      <c r="CG106" s="98"/>
      <c r="CH106" s="98"/>
      <c r="CI106" s="98"/>
      <c r="CJ106" s="98"/>
      <c r="CK106" s="98"/>
      <c r="CL106" s="98"/>
      <c r="CM106" s="98"/>
      <c r="CN106" s="98"/>
      <c r="CO106" s="98"/>
      <c r="CP106" s="98"/>
      <c r="CQ106" s="98"/>
      <c r="CR106" s="98"/>
      <c r="CS106" s="98"/>
      <c r="CT106" s="98"/>
      <c r="CU106" s="98"/>
      <c r="CV106" s="98"/>
      <c r="CW106" s="98"/>
      <c r="CX106" s="98"/>
      <c r="CY106" s="98"/>
      <c r="CZ106" s="98"/>
      <c r="DA106" s="98"/>
      <c r="DB106" s="98"/>
      <c r="DC106" s="98"/>
      <c r="DD106" s="98"/>
      <c r="DE106" s="98"/>
      <c r="DF106" s="98"/>
      <c r="DG106" s="98"/>
      <c r="DH106" s="98"/>
      <c r="DI106" s="98"/>
      <c r="DJ106" s="98"/>
      <c r="DK106" s="98"/>
      <c r="DL106" s="98"/>
      <c r="DM106" s="98"/>
      <c r="DN106" s="98"/>
      <c r="DO106" s="98"/>
      <c r="DP106" s="98"/>
      <c r="DQ106" s="98"/>
      <c r="DR106" s="98"/>
      <c r="DS106" s="98"/>
      <c r="DT106" s="98"/>
      <c r="DU106" s="98"/>
      <c r="DV106" s="98"/>
      <c r="DW106" s="98"/>
      <c r="DX106" s="98"/>
      <c r="DY106" s="98"/>
      <c r="DZ106" s="98"/>
      <c r="EA106" s="98"/>
      <c r="EB106" s="98"/>
    </row>
    <row r="107" spans="1:132" x14ac:dyDescent="0.2">
      <c r="A107" s="96"/>
      <c r="B107" s="94"/>
      <c r="C107" s="95"/>
      <c r="D107" s="97"/>
      <c r="E107" s="94"/>
      <c r="F107" s="94"/>
      <c r="G107" s="95"/>
      <c r="H107" s="95"/>
      <c r="I107" s="95"/>
      <c r="J107" s="98"/>
      <c r="K107" s="98"/>
      <c r="L107" s="98"/>
      <c r="M107" s="98"/>
      <c r="N107" s="98"/>
      <c r="O107" s="98"/>
      <c r="P107" s="98"/>
      <c r="Q107" s="98"/>
      <c r="R107" s="98"/>
      <c r="S107" s="98"/>
      <c r="T107" s="9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98"/>
      <c r="BB107" s="98"/>
      <c r="BC107" s="98"/>
      <c r="BD107" s="98"/>
      <c r="BE107" s="98"/>
      <c r="BF107" s="98"/>
      <c r="BG107" s="98"/>
      <c r="BH107" s="98"/>
      <c r="BI107" s="98"/>
      <c r="BJ107" s="98"/>
      <c r="BK107" s="98"/>
      <c r="BL107" s="98"/>
      <c r="BM107" s="98"/>
      <c r="BN107" s="98"/>
      <c r="BO107" s="98"/>
      <c r="BP107" s="98"/>
      <c r="BQ107" s="98"/>
      <c r="BR107" s="98"/>
      <c r="BS107" s="98"/>
      <c r="BT107" s="98"/>
      <c r="BU107" s="98"/>
      <c r="BV107" s="98"/>
      <c r="BW107" s="98"/>
      <c r="BX107" s="98"/>
      <c r="BY107" s="98"/>
      <c r="BZ107" s="98"/>
      <c r="CA107" s="98"/>
      <c r="CB107" s="98"/>
      <c r="CC107" s="98"/>
      <c r="CD107" s="98"/>
      <c r="CE107" s="98"/>
      <c r="CF107" s="98"/>
      <c r="CG107" s="98"/>
      <c r="CH107" s="98"/>
      <c r="CI107" s="98"/>
      <c r="CJ107" s="98"/>
      <c r="CK107" s="98"/>
      <c r="CL107" s="98"/>
      <c r="CM107" s="98"/>
      <c r="CN107" s="98"/>
      <c r="CO107" s="98"/>
      <c r="CP107" s="98"/>
      <c r="CQ107" s="98"/>
      <c r="CR107" s="98"/>
      <c r="CS107" s="98"/>
      <c r="CT107" s="98"/>
      <c r="CU107" s="98"/>
      <c r="CV107" s="98"/>
      <c r="CW107" s="98"/>
      <c r="CX107" s="98"/>
      <c r="CY107" s="98"/>
      <c r="CZ107" s="98"/>
      <c r="DA107" s="98"/>
      <c r="DB107" s="98"/>
      <c r="DC107" s="98"/>
      <c r="DD107" s="98"/>
      <c r="DE107" s="98"/>
      <c r="DF107" s="98"/>
      <c r="DG107" s="98"/>
      <c r="DH107" s="98"/>
      <c r="DI107" s="98"/>
      <c r="DJ107" s="98"/>
      <c r="DK107" s="98"/>
      <c r="DL107" s="98"/>
      <c r="DM107" s="98"/>
      <c r="DN107" s="98"/>
      <c r="DO107" s="98"/>
      <c r="DP107" s="98"/>
      <c r="DQ107" s="98"/>
      <c r="DR107" s="98"/>
      <c r="DS107" s="98"/>
      <c r="DT107" s="98"/>
      <c r="DU107" s="98"/>
      <c r="DV107" s="98"/>
      <c r="DW107" s="98"/>
      <c r="DX107" s="98"/>
      <c r="DY107" s="98"/>
      <c r="DZ107" s="98"/>
      <c r="EA107" s="98"/>
      <c r="EB107" s="98"/>
    </row>
    <row r="108" spans="1:132" x14ac:dyDescent="0.2">
      <c r="A108" s="96"/>
      <c r="B108" s="94"/>
      <c r="C108" s="95"/>
      <c r="D108" s="97"/>
      <c r="E108" s="94"/>
      <c r="F108" s="94"/>
      <c r="G108" s="95"/>
      <c r="H108" s="95"/>
      <c r="I108" s="95"/>
      <c r="J108" s="98"/>
      <c r="K108" s="9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98"/>
      <c r="BB108" s="98"/>
      <c r="BC108" s="98"/>
      <c r="BD108" s="98"/>
      <c r="BE108" s="98"/>
      <c r="BF108" s="98"/>
      <c r="BG108" s="98"/>
      <c r="BH108" s="98"/>
      <c r="BI108" s="98"/>
      <c r="BJ108" s="98"/>
      <c r="BK108" s="98"/>
      <c r="BL108" s="98"/>
      <c r="BM108" s="98"/>
      <c r="BN108" s="98"/>
      <c r="BO108" s="98"/>
      <c r="BP108" s="98"/>
      <c r="BQ108" s="98"/>
      <c r="BR108" s="98"/>
      <c r="BS108" s="98"/>
      <c r="BT108" s="98"/>
      <c r="BU108" s="98"/>
      <c r="BV108" s="98"/>
      <c r="BW108" s="98"/>
      <c r="BX108" s="98"/>
      <c r="BY108" s="98"/>
      <c r="BZ108" s="98"/>
      <c r="CA108" s="98"/>
      <c r="CB108" s="98"/>
      <c r="CC108" s="98"/>
      <c r="CD108" s="98"/>
      <c r="CE108" s="98"/>
      <c r="CF108" s="98"/>
      <c r="CG108" s="98"/>
      <c r="CH108" s="98"/>
      <c r="CI108" s="98"/>
      <c r="CJ108" s="98"/>
      <c r="CK108" s="98"/>
      <c r="CL108" s="98"/>
      <c r="CM108" s="98"/>
      <c r="CN108" s="98"/>
      <c r="CO108" s="98"/>
      <c r="CP108" s="98"/>
      <c r="CQ108" s="98"/>
      <c r="CR108" s="98"/>
      <c r="CS108" s="98"/>
      <c r="CT108" s="98"/>
      <c r="CU108" s="98"/>
      <c r="CV108" s="98"/>
      <c r="CW108" s="98"/>
      <c r="CX108" s="98"/>
      <c r="CY108" s="98"/>
      <c r="CZ108" s="98"/>
      <c r="DA108" s="98"/>
      <c r="DB108" s="98"/>
      <c r="DC108" s="98"/>
      <c r="DD108" s="98"/>
      <c r="DE108" s="98"/>
      <c r="DF108" s="98"/>
      <c r="DG108" s="98"/>
      <c r="DH108" s="98"/>
      <c r="DI108" s="98"/>
      <c r="DJ108" s="98"/>
      <c r="DK108" s="98"/>
      <c r="DL108" s="98"/>
      <c r="DM108" s="98"/>
      <c r="DN108" s="98"/>
      <c r="DO108" s="98"/>
      <c r="DP108" s="98"/>
      <c r="DQ108" s="98"/>
      <c r="DR108" s="98"/>
      <c r="DS108" s="98"/>
      <c r="DT108" s="98"/>
      <c r="DU108" s="98"/>
      <c r="DV108" s="98"/>
      <c r="DW108" s="98"/>
      <c r="DX108" s="98"/>
      <c r="DY108" s="98"/>
      <c r="DZ108" s="98"/>
      <c r="EA108" s="98"/>
      <c r="EB108" s="98"/>
    </row>
    <row r="109" spans="1:132" x14ac:dyDescent="0.2">
      <c r="A109" s="96"/>
      <c r="B109" s="94"/>
      <c r="C109" s="95"/>
      <c r="D109" s="97"/>
      <c r="E109" s="94"/>
      <c r="F109" s="94"/>
      <c r="G109" s="95"/>
      <c r="H109" s="95"/>
      <c r="I109" s="95"/>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98"/>
      <c r="BB109" s="98"/>
      <c r="BC109" s="98"/>
      <c r="BD109" s="98"/>
      <c r="BE109" s="98"/>
      <c r="BF109" s="98"/>
      <c r="BG109" s="98"/>
      <c r="BH109" s="98"/>
      <c r="BI109" s="98"/>
      <c r="BJ109" s="98"/>
      <c r="BK109" s="98"/>
      <c r="BL109" s="98"/>
      <c r="BM109" s="98"/>
      <c r="BN109" s="98"/>
      <c r="BO109" s="98"/>
      <c r="BP109" s="98"/>
      <c r="BQ109" s="98"/>
      <c r="BR109" s="98"/>
      <c r="BS109" s="98"/>
      <c r="BT109" s="98"/>
      <c r="BU109" s="98"/>
      <c r="BV109" s="98"/>
      <c r="BW109" s="98"/>
      <c r="BX109" s="98"/>
      <c r="BY109" s="98"/>
      <c r="BZ109" s="98"/>
      <c r="CA109" s="98"/>
      <c r="CB109" s="98"/>
      <c r="CC109" s="98"/>
      <c r="CD109" s="98"/>
      <c r="CE109" s="98"/>
      <c r="CF109" s="98"/>
      <c r="CG109" s="98"/>
      <c r="CH109" s="98"/>
      <c r="CI109" s="98"/>
      <c r="CJ109" s="98"/>
      <c r="CK109" s="98"/>
      <c r="CL109" s="98"/>
      <c r="CM109" s="98"/>
      <c r="CN109" s="98"/>
      <c r="CO109" s="98"/>
      <c r="CP109" s="98"/>
      <c r="CQ109" s="98"/>
      <c r="CR109" s="98"/>
      <c r="CS109" s="98"/>
      <c r="CT109" s="98"/>
      <c r="CU109" s="98"/>
      <c r="CV109" s="98"/>
      <c r="CW109" s="98"/>
      <c r="CX109" s="98"/>
      <c r="CY109" s="98"/>
      <c r="CZ109" s="98"/>
      <c r="DA109" s="98"/>
      <c r="DB109" s="98"/>
      <c r="DC109" s="98"/>
      <c r="DD109" s="98"/>
      <c r="DE109" s="98"/>
      <c r="DF109" s="98"/>
      <c r="DG109" s="98"/>
      <c r="DH109" s="98"/>
      <c r="DI109" s="98"/>
      <c r="DJ109" s="98"/>
      <c r="DK109" s="98"/>
      <c r="DL109" s="98"/>
      <c r="DM109" s="98"/>
      <c r="DN109" s="98"/>
      <c r="DO109" s="98"/>
      <c r="DP109" s="98"/>
      <c r="DQ109" s="98"/>
      <c r="DR109" s="98"/>
      <c r="DS109" s="98"/>
      <c r="DT109" s="98"/>
      <c r="DU109" s="98"/>
      <c r="DV109" s="98"/>
      <c r="DW109" s="98"/>
      <c r="DX109" s="98"/>
      <c r="DY109" s="98"/>
      <c r="DZ109" s="98"/>
      <c r="EA109" s="98"/>
      <c r="EB109" s="98"/>
    </row>
    <row r="110" spans="1:132" x14ac:dyDescent="0.2">
      <c r="A110" s="96"/>
      <c r="B110" s="94"/>
      <c r="C110" s="95"/>
      <c r="D110" s="97"/>
      <c r="E110" s="94"/>
      <c r="F110" s="94"/>
      <c r="G110" s="95"/>
      <c r="H110" s="95"/>
      <c r="I110" s="95"/>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98"/>
      <c r="BB110" s="98"/>
      <c r="BC110" s="98"/>
      <c r="BD110" s="98"/>
      <c r="BE110" s="98"/>
      <c r="BF110" s="98"/>
      <c r="BG110" s="98"/>
      <c r="BH110" s="98"/>
      <c r="BI110" s="98"/>
      <c r="BJ110" s="98"/>
      <c r="BK110" s="98"/>
      <c r="BL110" s="98"/>
      <c r="BM110" s="98"/>
      <c r="BN110" s="98"/>
      <c r="BO110" s="98"/>
      <c r="BP110" s="98"/>
      <c r="BQ110" s="98"/>
      <c r="BR110" s="98"/>
      <c r="BS110" s="98"/>
      <c r="BT110" s="98"/>
      <c r="BU110" s="98"/>
      <c r="BV110" s="98"/>
      <c r="BW110" s="98"/>
      <c r="BX110" s="98"/>
      <c r="BY110" s="98"/>
      <c r="BZ110" s="98"/>
      <c r="CA110" s="98"/>
      <c r="CB110" s="98"/>
      <c r="CC110" s="98"/>
      <c r="CD110" s="98"/>
      <c r="CE110" s="98"/>
      <c r="CF110" s="98"/>
      <c r="CG110" s="98"/>
      <c r="CH110" s="98"/>
      <c r="CI110" s="98"/>
      <c r="CJ110" s="98"/>
      <c r="CK110" s="98"/>
      <c r="CL110" s="98"/>
      <c r="CM110" s="98"/>
      <c r="CN110" s="98"/>
      <c r="CO110" s="98"/>
      <c r="CP110" s="98"/>
      <c r="CQ110" s="98"/>
      <c r="CR110" s="98"/>
      <c r="CS110" s="98"/>
      <c r="CT110" s="98"/>
      <c r="CU110" s="98"/>
      <c r="CV110" s="98"/>
      <c r="CW110" s="98"/>
      <c r="CX110" s="98"/>
      <c r="CY110" s="98"/>
      <c r="CZ110" s="98"/>
      <c r="DA110" s="98"/>
      <c r="DB110" s="98"/>
      <c r="DC110" s="98"/>
      <c r="DD110" s="98"/>
      <c r="DE110" s="98"/>
      <c r="DF110" s="98"/>
      <c r="DG110" s="98"/>
      <c r="DH110" s="98"/>
      <c r="DI110" s="98"/>
      <c r="DJ110" s="98"/>
      <c r="DK110" s="98"/>
      <c r="DL110" s="98"/>
      <c r="DM110" s="98"/>
      <c r="DN110" s="98"/>
      <c r="DO110" s="98"/>
      <c r="DP110" s="98"/>
      <c r="DQ110" s="98"/>
      <c r="DR110" s="98"/>
      <c r="DS110" s="98"/>
      <c r="DT110" s="98"/>
      <c r="DU110" s="98"/>
      <c r="DV110" s="98"/>
      <c r="DW110" s="98"/>
      <c r="DX110" s="98"/>
      <c r="DY110" s="98"/>
      <c r="DZ110" s="98"/>
      <c r="EA110" s="98"/>
      <c r="EB110" s="98"/>
    </row>
    <row r="111" spans="1:132" x14ac:dyDescent="0.2">
      <c r="A111" s="96"/>
      <c r="B111" s="94"/>
      <c r="C111" s="95"/>
      <c r="D111" s="97"/>
      <c r="E111" s="94"/>
      <c r="F111" s="94"/>
      <c r="G111" s="95"/>
      <c r="H111" s="95"/>
      <c r="I111" s="95"/>
      <c r="J111" s="98"/>
      <c r="K111" s="9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98"/>
      <c r="BB111" s="98"/>
      <c r="BC111" s="98"/>
      <c r="BD111" s="98"/>
      <c r="BE111" s="98"/>
      <c r="BF111" s="98"/>
      <c r="BG111" s="98"/>
      <c r="BH111" s="98"/>
      <c r="BI111" s="98"/>
      <c r="BJ111" s="98"/>
      <c r="BK111" s="98"/>
      <c r="BL111" s="98"/>
      <c r="BM111" s="98"/>
      <c r="BN111" s="98"/>
      <c r="BO111" s="98"/>
      <c r="BP111" s="98"/>
      <c r="BQ111" s="98"/>
      <c r="BR111" s="98"/>
      <c r="BS111" s="98"/>
      <c r="BT111" s="98"/>
      <c r="BU111" s="98"/>
      <c r="BV111" s="98"/>
      <c r="BW111" s="98"/>
      <c r="BX111" s="98"/>
      <c r="BY111" s="98"/>
      <c r="BZ111" s="98"/>
      <c r="CA111" s="98"/>
      <c r="CB111" s="98"/>
      <c r="CC111" s="98"/>
      <c r="CD111" s="98"/>
      <c r="CE111" s="98"/>
      <c r="CF111" s="98"/>
      <c r="CG111" s="98"/>
      <c r="CH111" s="98"/>
      <c r="CI111" s="98"/>
      <c r="CJ111" s="98"/>
      <c r="CK111" s="98"/>
      <c r="CL111" s="98"/>
      <c r="CM111" s="98"/>
      <c r="CN111" s="98"/>
      <c r="CO111" s="98"/>
      <c r="CP111" s="98"/>
      <c r="CQ111" s="98"/>
      <c r="CR111" s="98"/>
      <c r="CS111" s="98"/>
      <c r="CT111" s="98"/>
      <c r="CU111" s="98"/>
      <c r="CV111" s="98"/>
      <c r="CW111" s="98"/>
      <c r="CX111" s="98"/>
      <c r="CY111" s="98"/>
      <c r="CZ111" s="98"/>
      <c r="DA111" s="98"/>
      <c r="DB111" s="98"/>
      <c r="DC111" s="98"/>
      <c r="DD111" s="98"/>
      <c r="DE111" s="98"/>
      <c r="DF111" s="98"/>
      <c r="DG111" s="98"/>
      <c r="DH111" s="98"/>
      <c r="DI111" s="98"/>
      <c r="DJ111" s="98"/>
      <c r="DK111" s="98"/>
      <c r="DL111" s="98"/>
      <c r="DM111" s="98"/>
      <c r="DN111" s="98"/>
      <c r="DO111" s="98"/>
      <c r="DP111" s="98"/>
      <c r="DQ111" s="98"/>
      <c r="DR111" s="98"/>
      <c r="DS111" s="98"/>
      <c r="DT111" s="98"/>
      <c r="DU111" s="98"/>
      <c r="DV111" s="98"/>
      <c r="DW111" s="98"/>
      <c r="DX111" s="98"/>
      <c r="DY111" s="98"/>
      <c r="DZ111" s="98"/>
      <c r="EA111" s="98"/>
      <c r="EB111" s="98"/>
    </row>
    <row r="112" spans="1:132" x14ac:dyDescent="0.2">
      <c r="A112" s="96"/>
      <c r="B112" s="94"/>
      <c r="C112" s="95"/>
      <c r="D112" s="97"/>
      <c r="E112" s="94"/>
      <c r="F112" s="94"/>
      <c r="G112" s="95"/>
      <c r="H112" s="95"/>
      <c r="I112" s="95"/>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98"/>
      <c r="BB112" s="98"/>
      <c r="BC112" s="98"/>
      <c r="BD112" s="98"/>
      <c r="BE112" s="98"/>
      <c r="BF112" s="98"/>
      <c r="BG112" s="98"/>
      <c r="BH112" s="98"/>
      <c r="BI112" s="98"/>
      <c r="BJ112" s="98"/>
      <c r="BK112" s="98"/>
      <c r="BL112" s="98"/>
      <c r="BM112" s="98"/>
      <c r="BN112" s="98"/>
      <c r="BO112" s="98"/>
      <c r="BP112" s="98"/>
      <c r="BQ112" s="98"/>
      <c r="BR112" s="98"/>
      <c r="BS112" s="98"/>
      <c r="BT112" s="98"/>
      <c r="BU112" s="98"/>
      <c r="BV112" s="98"/>
      <c r="BW112" s="98"/>
      <c r="BX112" s="98"/>
      <c r="BY112" s="98"/>
      <c r="BZ112" s="98"/>
      <c r="CA112" s="98"/>
      <c r="CB112" s="98"/>
      <c r="CC112" s="98"/>
      <c r="CD112" s="98"/>
      <c r="CE112" s="98"/>
      <c r="CF112" s="98"/>
      <c r="CG112" s="98"/>
      <c r="CH112" s="98"/>
      <c r="CI112" s="98"/>
      <c r="CJ112" s="98"/>
      <c r="CK112" s="98"/>
      <c r="CL112" s="98"/>
      <c r="CM112" s="98"/>
      <c r="CN112" s="98"/>
      <c r="CO112" s="98"/>
      <c r="CP112" s="98"/>
      <c r="CQ112" s="98"/>
      <c r="CR112" s="98"/>
      <c r="CS112" s="98"/>
      <c r="CT112" s="98"/>
      <c r="CU112" s="98"/>
      <c r="CV112" s="98"/>
      <c r="CW112" s="98"/>
      <c r="CX112" s="98"/>
      <c r="CY112" s="98"/>
      <c r="CZ112" s="98"/>
      <c r="DA112" s="98"/>
      <c r="DB112" s="98"/>
      <c r="DC112" s="98"/>
      <c r="DD112" s="98"/>
      <c r="DE112" s="98"/>
      <c r="DF112" s="98"/>
      <c r="DG112" s="98"/>
      <c r="DH112" s="98"/>
      <c r="DI112" s="98"/>
      <c r="DJ112" s="98"/>
      <c r="DK112" s="98"/>
      <c r="DL112" s="98"/>
      <c r="DM112" s="98"/>
      <c r="DN112" s="98"/>
      <c r="DO112" s="98"/>
      <c r="DP112" s="98"/>
      <c r="DQ112" s="98"/>
      <c r="DR112" s="98"/>
      <c r="DS112" s="98"/>
      <c r="DT112" s="98"/>
      <c r="DU112" s="98"/>
      <c r="DV112" s="98"/>
      <c r="DW112" s="98"/>
      <c r="DX112" s="98"/>
      <c r="DY112" s="98"/>
      <c r="DZ112" s="98"/>
      <c r="EA112" s="98"/>
      <c r="EB112" s="98"/>
    </row>
    <row r="113" spans="1:132" x14ac:dyDescent="0.2">
      <c r="A113" s="96"/>
      <c r="B113" s="94"/>
      <c r="C113" s="95"/>
      <c r="D113" s="97"/>
      <c r="E113" s="94"/>
      <c r="F113" s="94"/>
      <c r="G113" s="95"/>
      <c r="H113" s="95"/>
      <c r="I113" s="95"/>
      <c r="J113" s="98"/>
      <c r="K113" s="98"/>
      <c r="L113" s="98"/>
      <c r="M113" s="98"/>
      <c r="N113" s="98"/>
      <c r="O113" s="98"/>
      <c r="P113" s="98"/>
      <c r="Q113" s="98"/>
      <c r="R113" s="98"/>
      <c r="S113" s="98"/>
      <c r="T113" s="9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98"/>
      <c r="BB113" s="98"/>
      <c r="BC113" s="98"/>
      <c r="BD113" s="98"/>
      <c r="BE113" s="98"/>
      <c r="BF113" s="98"/>
      <c r="BG113" s="98"/>
      <c r="BH113" s="98"/>
      <c r="BI113" s="98"/>
      <c r="BJ113" s="98"/>
      <c r="BK113" s="98"/>
      <c r="BL113" s="98"/>
      <c r="BM113" s="98"/>
      <c r="BN113" s="98"/>
      <c r="BO113" s="98"/>
      <c r="BP113" s="98"/>
      <c r="BQ113" s="98"/>
      <c r="BR113" s="98"/>
      <c r="BS113" s="98"/>
      <c r="BT113" s="98"/>
      <c r="BU113" s="98"/>
      <c r="BV113" s="98"/>
      <c r="BW113" s="98"/>
      <c r="BX113" s="98"/>
      <c r="BY113" s="98"/>
      <c r="BZ113" s="98"/>
      <c r="CA113" s="98"/>
      <c r="CB113" s="98"/>
      <c r="CC113" s="98"/>
      <c r="CD113" s="98"/>
      <c r="CE113" s="98"/>
      <c r="CF113" s="98"/>
      <c r="CG113" s="98"/>
      <c r="CH113" s="98"/>
      <c r="CI113" s="98"/>
      <c r="CJ113" s="98"/>
      <c r="CK113" s="98"/>
      <c r="CL113" s="98"/>
      <c r="CM113" s="98"/>
      <c r="CN113" s="98"/>
      <c r="CO113" s="98"/>
      <c r="CP113" s="98"/>
      <c r="CQ113" s="98"/>
      <c r="CR113" s="98"/>
      <c r="CS113" s="98"/>
      <c r="CT113" s="98"/>
      <c r="CU113" s="98"/>
      <c r="CV113" s="98"/>
      <c r="CW113" s="98"/>
      <c r="CX113" s="98"/>
      <c r="CY113" s="98"/>
      <c r="CZ113" s="98"/>
      <c r="DA113" s="98"/>
      <c r="DB113" s="98"/>
      <c r="DC113" s="98"/>
      <c r="DD113" s="98"/>
      <c r="DE113" s="98"/>
      <c r="DF113" s="98"/>
      <c r="DG113" s="98"/>
      <c r="DH113" s="98"/>
      <c r="DI113" s="98"/>
      <c r="DJ113" s="98"/>
      <c r="DK113" s="98"/>
      <c r="DL113" s="98"/>
      <c r="DM113" s="98"/>
      <c r="DN113" s="98"/>
      <c r="DO113" s="98"/>
      <c r="DP113" s="98"/>
      <c r="DQ113" s="98"/>
      <c r="DR113" s="98"/>
      <c r="DS113" s="98"/>
      <c r="DT113" s="98"/>
      <c r="DU113" s="98"/>
      <c r="DV113" s="98"/>
      <c r="DW113" s="98"/>
      <c r="DX113" s="98"/>
      <c r="DY113" s="98"/>
      <c r="DZ113" s="98"/>
      <c r="EA113" s="98"/>
      <c r="EB113" s="98"/>
    </row>
    <row r="114" spans="1:132" x14ac:dyDescent="0.2">
      <c r="A114" s="96"/>
      <c r="B114" s="94"/>
      <c r="C114" s="95"/>
      <c r="D114" s="97"/>
      <c r="E114" s="94"/>
      <c r="F114" s="94"/>
      <c r="G114" s="95"/>
      <c r="H114" s="95"/>
      <c r="I114" s="95"/>
      <c r="J114" s="98"/>
      <c r="K114" s="9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98"/>
      <c r="BB114" s="98"/>
      <c r="BC114" s="98"/>
      <c r="BD114" s="98"/>
      <c r="BE114" s="98"/>
      <c r="BF114" s="98"/>
      <c r="BG114" s="98"/>
      <c r="BH114" s="98"/>
      <c r="BI114" s="98"/>
      <c r="BJ114" s="98"/>
      <c r="BK114" s="98"/>
      <c r="BL114" s="98"/>
      <c r="BM114" s="98"/>
      <c r="BN114" s="98"/>
      <c r="BO114" s="98"/>
      <c r="BP114" s="98"/>
      <c r="BQ114" s="98"/>
      <c r="BR114" s="98"/>
      <c r="BS114" s="98"/>
      <c r="BT114" s="98"/>
      <c r="BU114" s="98"/>
      <c r="BV114" s="98"/>
      <c r="BW114" s="98"/>
      <c r="BX114" s="98"/>
      <c r="BY114" s="98"/>
      <c r="BZ114" s="98"/>
      <c r="CA114" s="98"/>
      <c r="CB114" s="98"/>
      <c r="CC114" s="98"/>
      <c r="CD114" s="98"/>
      <c r="CE114" s="98"/>
      <c r="CF114" s="98"/>
      <c r="CG114" s="98"/>
      <c r="CH114" s="98"/>
      <c r="CI114" s="98"/>
      <c r="CJ114" s="98"/>
      <c r="CK114" s="98"/>
      <c r="CL114" s="98"/>
      <c r="CM114" s="98"/>
      <c r="CN114" s="98"/>
      <c r="CO114" s="98"/>
      <c r="CP114" s="98"/>
      <c r="CQ114" s="98"/>
      <c r="CR114" s="98"/>
      <c r="CS114" s="98"/>
      <c r="CT114" s="98"/>
      <c r="CU114" s="98"/>
      <c r="CV114" s="98"/>
      <c r="CW114" s="98"/>
      <c r="CX114" s="98"/>
      <c r="CY114" s="98"/>
      <c r="CZ114" s="98"/>
      <c r="DA114" s="98"/>
      <c r="DB114" s="98"/>
      <c r="DC114" s="98"/>
      <c r="DD114" s="98"/>
      <c r="DE114" s="98"/>
      <c r="DF114" s="98"/>
      <c r="DG114" s="98"/>
      <c r="DH114" s="98"/>
      <c r="DI114" s="98"/>
      <c r="DJ114" s="98"/>
      <c r="DK114" s="98"/>
      <c r="DL114" s="98"/>
      <c r="DM114" s="98"/>
      <c r="DN114" s="98"/>
      <c r="DO114" s="98"/>
      <c r="DP114" s="98"/>
      <c r="DQ114" s="98"/>
      <c r="DR114" s="98"/>
      <c r="DS114" s="98"/>
      <c r="DT114" s="98"/>
      <c r="DU114" s="98"/>
      <c r="DV114" s="98"/>
      <c r="DW114" s="98"/>
      <c r="DX114" s="98"/>
      <c r="DY114" s="98"/>
      <c r="DZ114" s="98"/>
      <c r="EA114" s="98"/>
      <c r="EB114" s="98"/>
    </row>
    <row r="115" spans="1:132" x14ac:dyDescent="0.2">
      <c r="A115" s="96"/>
      <c r="B115" s="94"/>
      <c r="C115" s="95"/>
      <c r="D115" s="97"/>
      <c r="E115" s="94"/>
      <c r="F115" s="94"/>
      <c r="G115" s="95"/>
      <c r="H115" s="95"/>
      <c r="I115" s="95"/>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98"/>
      <c r="BB115" s="98"/>
      <c r="BC115" s="98"/>
      <c r="BD115" s="98"/>
      <c r="BE115" s="98"/>
      <c r="BF115" s="98"/>
      <c r="BG115" s="98"/>
      <c r="BH115" s="98"/>
      <c r="BI115" s="98"/>
      <c r="BJ115" s="98"/>
      <c r="BK115" s="98"/>
      <c r="BL115" s="98"/>
      <c r="BM115" s="98"/>
      <c r="BN115" s="98"/>
      <c r="BO115" s="98"/>
      <c r="BP115" s="98"/>
      <c r="BQ115" s="98"/>
      <c r="BR115" s="98"/>
      <c r="BS115" s="98"/>
      <c r="BT115" s="98"/>
      <c r="BU115" s="98"/>
      <c r="BV115" s="98"/>
      <c r="BW115" s="98"/>
      <c r="BX115" s="98"/>
      <c r="BY115" s="98"/>
      <c r="BZ115" s="98"/>
      <c r="CA115" s="98"/>
      <c r="CB115" s="98"/>
      <c r="CC115" s="98"/>
      <c r="CD115" s="98"/>
      <c r="CE115" s="98"/>
      <c r="CF115" s="98"/>
      <c r="CG115" s="98"/>
      <c r="CH115" s="98"/>
      <c r="CI115" s="98"/>
      <c r="CJ115" s="98"/>
      <c r="CK115" s="98"/>
      <c r="CL115" s="98"/>
      <c r="CM115" s="98"/>
      <c r="CN115" s="98"/>
      <c r="CO115" s="98"/>
      <c r="CP115" s="98"/>
      <c r="CQ115" s="98"/>
      <c r="CR115" s="98"/>
      <c r="CS115" s="98"/>
      <c r="CT115" s="98"/>
      <c r="CU115" s="98"/>
      <c r="CV115" s="98"/>
      <c r="CW115" s="98"/>
      <c r="CX115" s="98"/>
      <c r="CY115" s="98"/>
      <c r="CZ115" s="98"/>
      <c r="DA115" s="98"/>
      <c r="DB115" s="98"/>
      <c r="DC115" s="98"/>
      <c r="DD115" s="98"/>
      <c r="DE115" s="98"/>
      <c r="DF115" s="98"/>
      <c r="DG115" s="98"/>
      <c r="DH115" s="98"/>
      <c r="DI115" s="98"/>
      <c r="DJ115" s="98"/>
      <c r="DK115" s="98"/>
      <c r="DL115" s="98"/>
      <c r="DM115" s="98"/>
      <c r="DN115" s="98"/>
      <c r="DO115" s="98"/>
      <c r="DP115" s="98"/>
      <c r="DQ115" s="98"/>
      <c r="DR115" s="98"/>
      <c r="DS115" s="98"/>
      <c r="DT115" s="98"/>
      <c r="DU115" s="98"/>
      <c r="DV115" s="98"/>
      <c r="DW115" s="98"/>
      <c r="DX115" s="98"/>
      <c r="DY115" s="98"/>
      <c r="DZ115" s="98"/>
      <c r="EA115" s="98"/>
      <c r="EB115" s="98"/>
    </row>
    <row r="116" spans="1:132" x14ac:dyDescent="0.2">
      <c r="A116" s="96"/>
      <c r="B116" s="94"/>
      <c r="C116" s="95"/>
      <c r="D116" s="97"/>
      <c r="E116" s="94"/>
      <c r="F116" s="94"/>
      <c r="G116" s="95"/>
      <c r="H116" s="95"/>
      <c r="I116" s="95"/>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98"/>
      <c r="BB116" s="98"/>
      <c r="BC116" s="98"/>
      <c r="BD116" s="98"/>
      <c r="BE116" s="98"/>
      <c r="BF116" s="98"/>
      <c r="BG116" s="98"/>
      <c r="BH116" s="98"/>
      <c r="BI116" s="98"/>
      <c r="BJ116" s="98"/>
      <c r="BK116" s="98"/>
      <c r="BL116" s="98"/>
      <c r="BM116" s="98"/>
      <c r="BN116" s="98"/>
      <c r="BO116" s="98"/>
      <c r="BP116" s="98"/>
      <c r="BQ116" s="98"/>
      <c r="BR116" s="98"/>
      <c r="BS116" s="98"/>
      <c r="BT116" s="98"/>
      <c r="BU116" s="98"/>
      <c r="BV116" s="98"/>
      <c r="BW116" s="98"/>
      <c r="BX116" s="98"/>
      <c r="BY116" s="98"/>
      <c r="BZ116" s="98"/>
      <c r="CA116" s="98"/>
      <c r="CB116" s="98"/>
      <c r="CC116" s="98"/>
      <c r="CD116" s="98"/>
      <c r="CE116" s="98"/>
      <c r="CF116" s="98"/>
      <c r="CG116" s="98"/>
      <c r="CH116" s="98"/>
      <c r="CI116" s="98"/>
      <c r="CJ116" s="98"/>
      <c r="CK116" s="98"/>
      <c r="CL116" s="98"/>
      <c r="CM116" s="98"/>
      <c r="CN116" s="98"/>
      <c r="CO116" s="98"/>
      <c r="CP116" s="98"/>
      <c r="CQ116" s="98"/>
      <c r="CR116" s="98"/>
      <c r="CS116" s="98"/>
      <c r="CT116" s="98"/>
      <c r="CU116" s="98"/>
      <c r="CV116" s="98"/>
      <c r="CW116" s="98"/>
      <c r="CX116" s="98"/>
      <c r="CY116" s="98"/>
      <c r="CZ116" s="98"/>
      <c r="DA116" s="98"/>
      <c r="DB116" s="98"/>
      <c r="DC116" s="98"/>
      <c r="DD116" s="98"/>
      <c r="DE116" s="98"/>
      <c r="DF116" s="98"/>
      <c r="DG116" s="98"/>
      <c r="DH116" s="98"/>
      <c r="DI116" s="98"/>
      <c r="DJ116" s="98"/>
      <c r="DK116" s="98"/>
      <c r="DL116" s="98"/>
      <c r="DM116" s="98"/>
      <c r="DN116" s="98"/>
      <c r="DO116" s="98"/>
      <c r="DP116" s="98"/>
      <c r="DQ116" s="98"/>
      <c r="DR116" s="98"/>
      <c r="DS116" s="98"/>
      <c r="DT116" s="98"/>
      <c r="DU116" s="98"/>
      <c r="DV116" s="98"/>
      <c r="DW116" s="98"/>
      <c r="DX116" s="98"/>
      <c r="DY116" s="98"/>
      <c r="DZ116" s="98"/>
      <c r="EA116" s="98"/>
      <c r="EB116" s="98"/>
    </row>
    <row r="117" spans="1:132" x14ac:dyDescent="0.2">
      <c r="A117" s="96"/>
      <c r="B117" s="94"/>
      <c r="C117" s="95"/>
      <c r="D117" s="97"/>
      <c r="E117" s="94"/>
      <c r="F117" s="94"/>
      <c r="G117" s="95"/>
      <c r="H117" s="95"/>
      <c r="I117" s="95"/>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98"/>
      <c r="BB117" s="98"/>
      <c r="BC117" s="98"/>
      <c r="BD117" s="98"/>
      <c r="BE117" s="98"/>
      <c r="BF117" s="98"/>
      <c r="BG117" s="98"/>
      <c r="BH117" s="98"/>
      <c r="BI117" s="98"/>
      <c r="BJ117" s="98"/>
      <c r="BK117" s="98"/>
      <c r="BL117" s="98"/>
      <c r="BM117" s="98"/>
      <c r="BN117" s="98"/>
      <c r="BO117" s="98"/>
      <c r="BP117" s="98"/>
      <c r="BQ117" s="98"/>
      <c r="BR117" s="98"/>
      <c r="BS117" s="98"/>
      <c r="BT117" s="98"/>
      <c r="BU117" s="98"/>
      <c r="BV117" s="98"/>
      <c r="BW117" s="98"/>
      <c r="BX117" s="98"/>
      <c r="BY117" s="98"/>
      <c r="BZ117" s="98"/>
      <c r="CA117" s="98"/>
      <c r="CB117" s="98"/>
      <c r="CC117" s="98"/>
      <c r="CD117" s="98"/>
      <c r="CE117" s="98"/>
      <c r="CF117" s="98"/>
      <c r="CG117" s="98"/>
      <c r="CH117" s="98"/>
      <c r="CI117" s="98"/>
      <c r="CJ117" s="98"/>
      <c r="CK117" s="98"/>
      <c r="CL117" s="98"/>
      <c r="CM117" s="98"/>
      <c r="CN117" s="98"/>
      <c r="CO117" s="98"/>
      <c r="CP117" s="98"/>
      <c r="CQ117" s="98"/>
      <c r="CR117" s="98"/>
      <c r="CS117" s="98"/>
      <c r="CT117" s="98"/>
      <c r="CU117" s="98"/>
      <c r="CV117" s="98"/>
      <c r="CW117" s="98"/>
      <c r="CX117" s="98"/>
      <c r="CY117" s="98"/>
      <c r="CZ117" s="98"/>
      <c r="DA117" s="98"/>
      <c r="DB117" s="98"/>
      <c r="DC117" s="98"/>
      <c r="DD117" s="98"/>
      <c r="DE117" s="98"/>
      <c r="DF117" s="98"/>
      <c r="DG117" s="98"/>
      <c r="DH117" s="98"/>
      <c r="DI117" s="98"/>
      <c r="DJ117" s="98"/>
      <c r="DK117" s="98"/>
      <c r="DL117" s="98"/>
      <c r="DM117" s="98"/>
      <c r="DN117" s="98"/>
      <c r="DO117" s="98"/>
      <c r="DP117" s="98"/>
      <c r="DQ117" s="98"/>
      <c r="DR117" s="98"/>
      <c r="DS117" s="98"/>
      <c r="DT117" s="98"/>
      <c r="DU117" s="98"/>
      <c r="DV117" s="98"/>
      <c r="DW117" s="98"/>
      <c r="DX117" s="98"/>
      <c r="DY117" s="98"/>
      <c r="DZ117" s="98"/>
      <c r="EA117" s="98"/>
      <c r="EB117" s="98"/>
    </row>
    <row r="118" spans="1:132" x14ac:dyDescent="0.2">
      <c r="A118" s="96"/>
      <c r="B118" s="94"/>
      <c r="C118" s="95"/>
      <c r="D118" s="97"/>
      <c r="E118" s="94"/>
      <c r="F118" s="94"/>
      <c r="G118" s="95"/>
      <c r="H118" s="95"/>
      <c r="I118" s="95"/>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98"/>
      <c r="BB118" s="98"/>
      <c r="BC118" s="98"/>
      <c r="BD118" s="98"/>
      <c r="BE118" s="98"/>
      <c r="BF118" s="98"/>
      <c r="BG118" s="98"/>
      <c r="BH118" s="98"/>
      <c r="BI118" s="98"/>
      <c r="BJ118" s="98"/>
      <c r="BK118" s="98"/>
      <c r="BL118" s="98"/>
      <c r="BM118" s="98"/>
      <c r="BN118" s="98"/>
      <c r="BO118" s="98"/>
      <c r="BP118" s="98"/>
      <c r="BQ118" s="98"/>
      <c r="BR118" s="98"/>
      <c r="BS118" s="98"/>
      <c r="BT118" s="98"/>
      <c r="BU118" s="98"/>
      <c r="BV118" s="98"/>
      <c r="BW118" s="98"/>
      <c r="BX118" s="98"/>
      <c r="BY118" s="98"/>
      <c r="BZ118" s="98"/>
      <c r="CA118" s="98"/>
      <c r="CB118" s="98"/>
      <c r="CC118" s="98"/>
      <c r="CD118" s="98"/>
      <c r="CE118" s="98"/>
      <c r="CF118" s="98"/>
      <c r="CG118" s="98"/>
      <c r="CH118" s="98"/>
      <c r="CI118" s="98"/>
      <c r="CJ118" s="98"/>
      <c r="CK118" s="98"/>
      <c r="CL118" s="98"/>
      <c r="CM118" s="98"/>
      <c r="CN118" s="98"/>
      <c r="CO118" s="98"/>
      <c r="CP118" s="98"/>
      <c r="CQ118" s="98"/>
      <c r="CR118" s="98"/>
      <c r="CS118" s="98"/>
      <c r="CT118" s="98"/>
      <c r="CU118" s="98"/>
      <c r="CV118" s="98"/>
      <c r="CW118" s="98"/>
      <c r="CX118" s="98"/>
      <c r="CY118" s="98"/>
      <c r="CZ118" s="98"/>
      <c r="DA118" s="98"/>
      <c r="DB118" s="98"/>
      <c r="DC118" s="98"/>
      <c r="DD118" s="98"/>
      <c r="DE118" s="98"/>
      <c r="DF118" s="98"/>
      <c r="DG118" s="98"/>
      <c r="DH118" s="98"/>
      <c r="DI118" s="98"/>
      <c r="DJ118" s="98"/>
      <c r="DK118" s="98"/>
      <c r="DL118" s="98"/>
      <c r="DM118" s="98"/>
      <c r="DN118" s="98"/>
      <c r="DO118" s="98"/>
      <c r="DP118" s="98"/>
      <c r="DQ118" s="98"/>
      <c r="DR118" s="98"/>
      <c r="DS118" s="98"/>
      <c r="DT118" s="98"/>
      <c r="DU118" s="98"/>
      <c r="DV118" s="98"/>
      <c r="DW118" s="98"/>
      <c r="DX118" s="98"/>
      <c r="DY118" s="98"/>
      <c r="DZ118" s="98"/>
      <c r="EA118" s="98"/>
      <c r="EB118" s="98"/>
    </row>
    <row r="119" spans="1:132" x14ac:dyDescent="0.2">
      <c r="A119" s="96"/>
      <c r="B119" s="94"/>
      <c r="C119" s="95"/>
      <c r="D119" s="97"/>
      <c r="E119" s="94"/>
      <c r="F119" s="94"/>
      <c r="G119" s="95"/>
      <c r="H119" s="95"/>
      <c r="I119" s="95"/>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98"/>
      <c r="BB119" s="98"/>
      <c r="BC119" s="98"/>
      <c r="BD119" s="98"/>
      <c r="BE119" s="98"/>
      <c r="BF119" s="98"/>
      <c r="BG119" s="98"/>
      <c r="BH119" s="98"/>
      <c r="BI119" s="98"/>
      <c r="BJ119" s="98"/>
      <c r="BK119" s="98"/>
      <c r="BL119" s="98"/>
      <c r="BM119" s="98"/>
      <c r="BN119" s="98"/>
      <c r="BO119" s="98"/>
      <c r="BP119" s="98"/>
      <c r="BQ119" s="98"/>
      <c r="BR119" s="98"/>
      <c r="BS119" s="98"/>
      <c r="BT119" s="98"/>
      <c r="BU119" s="98"/>
      <c r="BV119" s="98"/>
      <c r="BW119" s="98"/>
      <c r="BX119" s="98"/>
      <c r="BY119" s="98"/>
      <c r="BZ119" s="98"/>
      <c r="CA119" s="98"/>
      <c r="CB119" s="98"/>
      <c r="CC119" s="98"/>
      <c r="CD119" s="98"/>
      <c r="CE119" s="98"/>
      <c r="CF119" s="98"/>
      <c r="CG119" s="98"/>
      <c r="CH119" s="98"/>
      <c r="CI119" s="98"/>
      <c r="CJ119" s="98"/>
      <c r="CK119" s="98"/>
      <c r="CL119" s="98"/>
      <c r="CM119" s="98"/>
      <c r="CN119" s="98"/>
      <c r="CO119" s="98"/>
      <c r="CP119" s="98"/>
      <c r="CQ119" s="98"/>
      <c r="CR119" s="98"/>
      <c r="CS119" s="98"/>
      <c r="CT119" s="98"/>
      <c r="CU119" s="98"/>
      <c r="CV119" s="98"/>
      <c r="CW119" s="98"/>
      <c r="CX119" s="98"/>
      <c r="CY119" s="98"/>
      <c r="CZ119" s="98"/>
      <c r="DA119" s="98"/>
      <c r="DB119" s="98"/>
      <c r="DC119" s="98"/>
      <c r="DD119" s="98"/>
      <c r="DE119" s="98"/>
      <c r="DF119" s="98"/>
      <c r="DG119" s="98"/>
      <c r="DH119" s="98"/>
      <c r="DI119" s="98"/>
      <c r="DJ119" s="98"/>
      <c r="DK119" s="98"/>
      <c r="DL119" s="98"/>
      <c r="DM119" s="98"/>
      <c r="DN119" s="98"/>
      <c r="DO119" s="98"/>
      <c r="DP119" s="98"/>
      <c r="DQ119" s="98"/>
      <c r="DR119" s="98"/>
      <c r="DS119" s="98"/>
      <c r="DT119" s="98"/>
      <c r="DU119" s="98"/>
      <c r="DV119" s="98"/>
      <c r="DW119" s="98"/>
      <c r="DX119" s="98"/>
      <c r="DY119" s="98"/>
      <c r="DZ119" s="98"/>
      <c r="EA119" s="98"/>
      <c r="EB119" s="98"/>
    </row>
    <row r="120" spans="1:132" x14ac:dyDescent="0.2">
      <c r="A120" s="96"/>
      <c r="B120" s="94"/>
      <c r="C120" s="95"/>
      <c r="D120" s="97"/>
      <c r="E120" s="94"/>
      <c r="F120" s="94"/>
      <c r="G120" s="95"/>
      <c r="H120" s="95"/>
      <c r="I120" s="95"/>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98"/>
      <c r="BB120" s="98"/>
      <c r="BC120" s="98"/>
      <c r="BD120" s="98"/>
      <c r="BE120" s="98"/>
      <c r="BF120" s="98"/>
      <c r="BG120" s="98"/>
      <c r="BH120" s="98"/>
      <c r="BI120" s="98"/>
      <c r="BJ120" s="98"/>
      <c r="BK120" s="98"/>
      <c r="BL120" s="98"/>
      <c r="BM120" s="98"/>
      <c r="BN120" s="98"/>
      <c r="BO120" s="98"/>
      <c r="BP120" s="98"/>
      <c r="BQ120" s="98"/>
      <c r="BR120" s="98"/>
      <c r="BS120" s="98"/>
      <c r="BT120" s="98"/>
      <c r="BU120" s="98"/>
      <c r="BV120" s="98"/>
      <c r="BW120" s="98"/>
      <c r="BX120" s="98"/>
      <c r="BY120" s="98"/>
      <c r="BZ120" s="98"/>
      <c r="CA120" s="98"/>
      <c r="CB120" s="98"/>
      <c r="CC120" s="98"/>
      <c r="CD120" s="98"/>
      <c r="CE120" s="98"/>
      <c r="CF120" s="98"/>
      <c r="CG120" s="98"/>
      <c r="CH120" s="98"/>
      <c r="CI120" s="98"/>
      <c r="CJ120" s="98"/>
      <c r="CK120" s="98"/>
      <c r="CL120" s="98"/>
      <c r="CM120" s="98"/>
      <c r="CN120" s="98"/>
      <c r="CO120" s="98"/>
      <c r="CP120" s="98"/>
      <c r="CQ120" s="98"/>
      <c r="CR120" s="98"/>
      <c r="CS120" s="98"/>
      <c r="CT120" s="98"/>
      <c r="CU120" s="98"/>
      <c r="CV120" s="98"/>
      <c r="CW120" s="98"/>
      <c r="CX120" s="98"/>
      <c r="CY120" s="98"/>
      <c r="CZ120" s="98"/>
      <c r="DA120" s="98"/>
      <c r="DB120" s="98"/>
      <c r="DC120" s="98"/>
      <c r="DD120" s="98"/>
      <c r="DE120" s="98"/>
      <c r="DF120" s="98"/>
      <c r="DG120" s="98"/>
      <c r="DH120" s="98"/>
      <c r="DI120" s="98"/>
      <c r="DJ120" s="98"/>
      <c r="DK120" s="98"/>
      <c r="DL120" s="98"/>
      <c r="DM120" s="98"/>
      <c r="DN120" s="98"/>
      <c r="DO120" s="98"/>
      <c r="DP120" s="98"/>
      <c r="DQ120" s="98"/>
      <c r="DR120" s="98"/>
      <c r="DS120" s="98"/>
      <c r="DT120" s="98"/>
      <c r="DU120" s="98"/>
      <c r="DV120" s="98"/>
      <c r="DW120" s="98"/>
      <c r="DX120" s="98"/>
      <c r="DY120" s="98"/>
      <c r="DZ120" s="98"/>
      <c r="EA120" s="98"/>
      <c r="EB120" s="98"/>
    </row>
    <row r="121" spans="1:132" x14ac:dyDescent="0.2">
      <c r="A121" s="96"/>
      <c r="B121" s="94"/>
      <c r="C121" s="95"/>
      <c r="D121" s="97"/>
      <c r="E121" s="94"/>
      <c r="F121" s="94"/>
      <c r="G121" s="95"/>
      <c r="H121" s="95"/>
      <c r="I121" s="95"/>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98"/>
      <c r="BB121" s="98"/>
      <c r="BC121" s="98"/>
      <c r="BD121" s="98"/>
      <c r="BE121" s="98"/>
      <c r="BF121" s="98"/>
      <c r="BG121" s="98"/>
      <c r="BH121" s="98"/>
      <c r="BI121" s="98"/>
      <c r="BJ121" s="98"/>
      <c r="BK121" s="98"/>
      <c r="BL121" s="98"/>
      <c r="BM121" s="98"/>
      <c r="BN121" s="98"/>
      <c r="BO121" s="98"/>
      <c r="BP121" s="98"/>
      <c r="BQ121" s="98"/>
      <c r="BR121" s="98"/>
      <c r="BS121" s="98"/>
      <c r="BT121" s="98"/>
      <c r="BU121" s="98"/>
      <c r="BV121" s="98"/>
      <c r="BW121" s="98"/>
      <c r="BX121" s="98"/>
      <c r="BY121" s="98"/>
      <c r="BZ121" s="98"/>
      <c r="CA121" s="98"/>
      <c r="CB121" s="98"/>
      <c r="CC121" s="98"/>
      <c r="CD121" s="98"/>
      <c r="CE121" s="98"/>
      <c r="CF121" s="98"/>
      <c r="CG121" s="98"/>
      <c r="CH121" s="98"/>
      <c r="CI121" s="98"/>
      <c r="CJ121" s="98"/>
      <c r="CK121" s="98"/>
      <c r="CL121" s="98"/>
      <c r="CM121" s="98"/>
      <c r="CN121" s="98"/>
      <c r="CO121" s="98"/>
      <c r="CP121" s="98"/>
      <c r="CQ121" s="98"/>
      <c r="CR121" s="98"/>
      <c r="CS121" s="98"/>
      <c r="CT121" s="98"/>
      <c r="CU121" s="98"/>
      <c r="CV121" s="98"/>
      <c r="CW121" s="98"/>
      <c r="CX121" s="98"/>
      <c r="CY121" s="98"/>
      <c r="CZ121" s="98"/>
      <c r="DA121" s="98"/>
      <c r="DB121" s="98"/>
      <c r="DC121" s="98"/>
      <c r="DD121" s="98"/>
      <c r="DE121" s="98"/>
      <c r="DF121" s="98"/>
      <c r="DG121" s="98"/>
      <c r="DH121" s="98"/>
      <c r="DI121" s="98"/>
      <c r="DJ121" s="98"/>
      <c r="DK121" s="98"/>
      <c r="DL121" s="98"/>
      <c r="DM121" s="98"/>
      <c r="DN121" s="98"/>
      <c r="DO121" s="98"/>
      <c r="DP121" s="98"/>
      <c r="DQ121" s="98"/>
      <c r="DR121" s="98"/>
      <c r="DS121" s="98"/>
      <c r="DT121" s="98"/>
      <c r="DU121" s="98"/>
      <c r="DV121" s="98"/>
      <c r="DW121" s="98"/>
      <c r="DX121" s="98"/>
      <c r="DY121" s="98"/>
      <c r="DZ121" s="98"/>
      <c r="EA121" s="98"/>
      <c r="EB121" s="98"/>
    </row>
    <row r="122" spans="1:132" x14ac:dyDescent="0.2">
      <c r="A122" s="96"/>
      <c r="B122" s="94"/>
      <c r="C122" s="95"/>
      <c r="D122" s="97"/>
      <c r="E122" s="94"/>
      <c r="F122" s="94"/>
      <c r="G122" s="95"/>
      <c r="H122" s="95"/>
      <c r="I122" s="95"/>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98"/>
      <c r="BB122" s="98"/>
      <c r="BC122" s="98"/>
      <c r="BD122" s="98"/>
      <c r="BE122" s="98"/>
      <c r="BF122" s="98"/>
      <c r="BG122" s="98"/>
      <c r="BH122" s="98"/>
      <c r="BI122" s="98"/>
      <c r="BJ122" s="98"/>
      <c r="BK122" s="98"/>
      <c r="BL122" s="98"/>
      <c r="BM122" s="98"/>
      <c r="BN122" s="98"/>
      <c r="BO122" s="98"/>
      <c r="BP122" s="98"/>
      <c r="BQ122" s="98"/>
      <c r="BR122" s="98"/>
      <c r="BS122" s="98"/>
      <c r="BT122" s="98"/>
      <c r="BU122" s="98"/>
      <c r="BV122" s="98"/>
      <c r="BW122" s="98"/>
      <c r="BX122" s="98"/>
      <c r="BY122" s="98"/>
      <c r="BZ122" s="98"/>
      <c r="CA122" s="98"/>
      <c r="CB122" s="98"/>
      <c r="CC122" s="98"/>
      <c r="CD122" s="98"/>
      <c r="CE122" s="98"/>
      <c r="CF122" s="98"/>
      <c r="CG122" s="98"/>
      <c r="CH122" s="98"/>
      <c r="CI122" s="98"/>
      <c r="CJ122" s="98"/>
      <c r="CK122" s="98"/>
      <c r="CL122" s="98"/>
      <c r="CM122" s="98"/>
      <c r="CN122" s="98"/>
      <c r="CO122" s="98"/>
      <c r="CP122" s="98"/>
      <c r="CQ122" s="98"/>
      <c r="CR122" s="98"/>
      <c r="CS122" s="98"/>
      <c r="CT122" s="98"/>
      <c r="CU122" s="98"/>
      <c r="CV122" s="98"/>
      <c r="CW122" s="98"/>
      <c r="CX122" s="98"/>
      <c r="CY122" s="98"/>
      <c r="CZ122" s="98"/>
      <c r="DA122" s="98"/>
      <c r="DB122" s="98"/>
      <c r="DC122" s="98"/>
      <c r="DD122" s="98"/>
      <c r="DE122" s="98"/>
      <c r="DF122" s="98"/>
      <c r="DG122" s="98"/>
      <c r="DH122" s="98"/>
      <c r="DI122" s="98"/>
      <c r="DJ122" s="98"/>
      <c r="DK122" s="98"/>
      <c r="DL122" s="98"/>
      <c r="DM122" s="98"/>
      <c r="DN122" s="98"/>
      <c r="DO122" s="98"/>
      <c r="DP122" s="98"/>
      <c r="DQ122" s="98"/>
      <c r="DR122" s="98"/>
      <c r="DS122" s="98"/>
      <c r="DT122" s="98"/>
      <c r="DU122" s="98"/>
      <c r="DV122" s="98"/>
      <c r="DW122" s="98"/>
      <c r="DX122" s="98"/>
      <c r="DY122" s="98"/>
      <c r="DZ122" s="98"/>
      <c r="EA122" s="98"/>
      <c r="EB122" s="98"/>
    </row>
    <row r="123" spans="1:132" x14ac:dyDescent="0.2">
      <c r="A123" s="96"/>
      <c r="B123" s="94"/>
      <c r="C123" s="95"/>
      <c r="D123" s="97"/>
      <c r="E123" s="94"/>
      <c r="F123" s="94"/>
      <c r="G123" s="95"/>
      <c r="H123" s="95"/>
      <c r="I123" s="95"/>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98"/>
      <c r="BB123" s="98"/>
      <c r="BC123" s="98"/>
      <c r="BD123" s="98"/>
      <c r="BE123" s="98"/>
      <c r="BF123" s="98"/>
      <c r="BG123" s="98"/>
      <c r="BH123" s="98"/>
      <c r="BI123" s="98"/>
      <c r="BJ123" s="98"/>
      <c r="BK123" s="98"/>
      <c r="BL123" s="98"/>
      <c r="BM123" s="98"/>
      <c r="BN123" s="98"/>
      <c r="BO123" s="98"/>
      <c r="BP123" s="98"/>
      <c r="BQ123" s="98"/>
      <c r="BR123" s="98"/>
      <c r="BS123" s="98"/>
      <c r="BT123" s="98"/>
      <c r="BU123" s="98"/>
      <c r="BV123" s="98"/>
      <c r="BW123" s="98"/>
      <c r="BX123" s="98"/>
      <c r="BY123" s="98"/>
      <c r="BZ123" s="98"/>
      <c r="CA123" s="98"/>
      <c r="CB123" s="98"/>
      <c r="CC123" s="98"/>
      <c r="CD123" s="98"/>
      <c r="CE123" s="98"/>
      <c r="CF123" s="98"/>
      <c r="CG123" s="98"/>
      <c r="CH123" s="98"/>
      <c r="CI123" s="98"/>
      <c r="CJ123" s="98"/>
      <c r="CK123" s="98"/>
      <c r="CL123" s="98"/>
      <c r="CM123" s="98"/>
      <c r="CN123" s="98"/>
      <c r="CO123" s="98"/>
      <c r="CP123" s="98"/>
      <c r="CQ123" s="98"/>
      <c r="CR123" s="98"/>
      <c r="CS123" s="98"/>
      <c r="CT123" s="98"/>
      <c r="CU123" s="98"/>
      <c r="CV123" s="98"/>
      <c r="CW123" s="98"/>
      <c r="CX123" s="98"/>
      <c r="CY123" s="98"/>
      <c r="CZ123" s="98"/>
      <c r="DA123" s="98"/>
      <c r="DB123" s="98"/>
      <c r="DC123" s="98"/>
      <c r="DD123" s="98"/>
      <c r="DE123" s="98"/>
      <c r="DF123" s="98"/>
      <c r="DG123" s="98"/>
      <c r="DH123" s="98"/>
      <c r="DI123" s="98"/>
      <c r="DJ123" s="98"/>
      <c r="DK123" s="98"/>
      <c r="DL123" s="98"/>
      <c r="DM123" s="98"/>
      <c r="DN123" s="98"/>
      <c r="DO123" s="98"/>
      <c r="DP123" s="98"/>
      <c r="DQ123" s="98"/>
      <c r="DR123" s="98"/>
      <c r="DS123" s="98"/>
      <c r="DT123" s="98"/>
      <c r="DU123" s="98"/>
      <c r="DV123" s="98"/>
      <c r="DW123" s="98"/>
      <c r="DX123" s="98"/>
      <c r="DY123" s="98"/>
      <c r="DZ123" s="98"/>
      <c r="EA123" s="98"/>
      <c r="EB123" s="98"/>
    </row>
    <row r="124" spans="1:132" x14ac:dyDescent="0.2">
      <c r="A124" s="96"/>
      <c r="B124" s="94"/>
      <c r="C124" s="95"/>
      <c r="D124" s="97"/>
      <c r="E124" s="94"/>
      <c r="F124" s="94"/>
      <c r="G124" s="95"/>
      <c r="H124" s="95"/>
      <c r="I124" s="95"/>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98"/>
      <c r="BB124" s="98"/>
      <c r="BC124" s="98"/>
      <c r="BD124" s="98"/>
      <c r="BE124" s="98"/>
      <c r="BF124" s="98"/>
      <c r="BG124" s="98"/>
      <c r="BH124" s="98"/>
      <c r="BI124" s="98"/>
      <c r="BJ124" s="98"/>
      <c r="BK124" s="98"/>
      <c r="BL124" s="98"/>
      <c r="BM124" s="98"/>
      <c r="BN124" s="98"/>
      <c r="BO124" s="98"/>
      <c r="BP124" s="98"/>
      <c r="BQ124" s="98"/>
      <c r="BR124" s="98"/>
      <c r="BS124" s="98"/>
      <c r="BT124" s="98"/>
      <c r="BU124" s="98"/>
      <c r="BV124" s="98"/>
      <c r="BW124" s="98"/>
      <c r="BX124" s="98"/>
      <c r="BY124" s="98"/>
      <c r="BZ124" s="98"/>
      <c r="CA124" s="98"/>
      <c r="CB124" s="98"/>
      <c r="CC124" s="98"/>
      <c r="CD124" s="98"/>
      <c r="CE124" s="98"/>
      <c r="CF124" s="98"/>
      <c r="CG124" s="98"/>
      <c r="CH124" s="98"/>
      <c r="CI124" s="98"/>
      <c r="CJ124" s="98"/>
      <c r="CK124" s="98"/>
      <c r="CL124" s="98"/>
      <c r="CM124" s="98"/>
      <c r="CN124" s="98"/>
      <c r="CO124" s="98"/>
      <c r="CP124" s="98"/>
      <c r="CQ124" s="98"/>
      <c r="CR124" s="98"/>
      <c r="CS124" s="98"/>
      <c r="CT124" s="98"/>
      <c r="CU124" s="98"/>
      <c r="CV124" s="98"/>
      <c r="CW124" s="98"/>
      <c r="CX124" s="98"/>
      <c r="CY124" s="98"/>
      <c r="CZ124" s="98"/>
      <c r="DA124" s="98"/>
      <c r="DB124" s="98"/>
      <c r="DC124" s="98"/>
      <c r="DD124" s="98"/>
      <c r="DE124" s="98"/>
      <c r="DF124" s="98"/>
      <c r="DG124" s="98"/>
      <c r="DH124" s="98"/>
      <c r="DI124" s="98"/>
      <c r="DJ124" s="98"/>
      <c r="DK124" s="98"/>
      <c r="DL124" s="98"/>
      <c r="DM124" s="98"/>
      <c r="DN124" s="98"/>
      <c r="DO124" s="98"/>
      <c r="DP124" s="98"/>
      <c r="DQ124" s="98"/>
      <c r="DR124" s="98"/>
      <c r="DS124" s="98"/>
      <c r="DT124" s="98"/>
      <c r="DU124" s="98"/>
      <c r="DV124" s="98"/>
      <c r="DW124" s="98"/>
      <c r="DX124" s="98"/>
      <c r="DY124" s="98"/>
      <c r="DZ124" s="98"/>
      <c r="EA124" s="98"/>
      <c r="EB124" s="98"/>
    </row>
    <row r="125" spans="1:132" x14ac:dyDescent="0.2">
      <c r="A125" s="96"/>
      <c r="B125" s="94"/>
      <c r="C125" s="95"/>
      <c r="D125" s="97"/>
      <c r="E125" s="94"/>
      <c r="F125" s="94"/>
      <c r="G125" s="95"/>
      <c r="H125" s="95"/>
      <c r="I125" s="95"/>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98"/>
      <c r="BB125" s="98"/>
      <c r="BC125" s="98"/>
      <c r="BD125" s="98"/>
      <c r="BE125" s="98"/>
      <c r="BF125" s="98"/>
      <c r="BG125" s="98"/>
      <c r="BH125" s="98"/>
      <c r="BI125" s="98"/>
      <c r="BJ125" s="98"/>
      <c r="BK125" s="98"/>
      <c r="BL125" s="98"/>
      <c r="BM125" s="98"/>
      <c r="BN125" s="98"/>
      <c r="BO125" s="98"/>
      <c r="BP125" s="98"/>
      <c r="BQ125" s="98"/>
      <c r="BR125" s="98"/>
      <c r="BS125" s="98"/>
      <c r="BT125" s="98"/>
      <c r="BU125" s="98"/>
      <c r="BV125" s="98"/>
      <c r="BW125" s="98"/>
      <c r="BX125" s="98"/>
      <c r="BY125" s="98"/>
      <c r="BZ125" s="98"/>
      <c r="CA125" s="98"/>
      <c r="CB125" s="98"/>
      <c r="CC125" s="98"/>
      <c r="CD125" s="98"/>
      <c r="CE125" s="98"/>
      <c r="CF125" s="98"/>
      <c r="CG125" s="98"/>
      <c r="CH125" s="98"/>
      <c r="CI125" s="98"/>
      <c r="CJ125" s="98"/>
      <c r="CK125" s="98"/>
      <c r="CL125" s="98"/>
      <c r="CM125" s="98"/>
      <c r="CN125" s="98"/>
      <c r="CO125" s="98"/>
      <c r="CP125" s="98"/>
      <c r="CQ125" s="98"/>
      <c r="CR125" s="98"/>
      <c r="CS125" s="98"/>
      <c r="CT125" s="98"/>
      <c r="CU125" s="98"/>
      <c r="CV125" s="98"/>
      <c r="CW125" s="98"/>
      <c r="CX125" s="98"/>
      <c r="CY125" s="98"/>
      <c r="CZ125" s="98"/>
      <c r="DA125" s="98"/>
      <c r="DB125" s="98"/>
      <c r="DC125" s="98"/>
      <c r="DD125" s="98"/>
      <c r="DE125" s="98"/>
      <c r="DF125" s="98"/>
      <c r="DG125" s="98"/>
      <c r="DH125" s="98"/>
      <c r="DI125" s="98"/>
      <c r="DJ125" s="98"/>
      <c r="DK125" s="98"/>
      <c r="DL125" s="98"/>
      <c r="DM125" s="98"/>
      <c r="DN125" s="98"/>
      <c r="DO125" s="98"/>
      <c r="DP125" s="98"/>
      <c r="DQ125" s="98"/>
      <c r="DR125" s="98"/>
      <c r="DS125" s="98"/>
      <c r="DT125" s="98"/>
      <c r="DU125" s="98"/>
      <c r="DV125" s="98"/>
      <c r="DW125" s="98"/>
      <c r="DX125" s="98"/>
      <c r="DY125" s="98"/>
      <c r="DZ125" s="98"/>
      <c r="EA125" s="98"/>
      <c r="EB125" s="98"/>
    </row>
    <row r="126" spans="1:132" x14ac:dyDescent="0.2">
      <c r="A126" s="96"/>
      <c r="B126" s="94"/>
      <c r="C126" s="95"/>
      <c r="D126" s="97"/>
      <c r="E126" s="94"/>
      <c r="F126" s="94"/>
      <c r="G126" s="95"/>
      <c r="H126" s="95"/>
      <c r="I126" s="95"/>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98"/>
      <c r="BB126" s="98"/>
      <c r="BC126" s="98"/>
      <c r="BD126" s="98"/>
      <c r="BE126" s="98"/>
      <c r="BF126" s="98"/>
      <c r="BG126" s="98"/>
      <c r="BH126" s="98"/>
      <c r="BI126" s="98"/>
      <c r="BJ126" s="98"/>
      <c r="BK126" s="98"/>
      <c r="BL126" s="98"/>
      <c r="BM126" s="98"/>
      <c r="BN126" s="98"/>
      <c r="BO126" s="98"/>
      <c r="BP126" s="98"/>
      <c r="BQ126" s="98"/>
      <c r="BR126" s="98"/>
      <c r="BS126" s="98"/>
      <c r="BT126" s="98"/>
      <c r="BU126" s="98"/>
      <c r="BV126" s="98"/>
      <c r="BW126" s="98"/>
      <c r="BX126" s="98"/>
      <c r="BY126" s="98"/>
      <c r="BZ126" s="98"/>
      <c r="CA126" s="98"/>
      <c r="CB126" s="98"/>
      <c r="CC126" s="98"/>
      <c r="CD126" s="98"/>
      <c r="CE126" s="98"/>
      <c r="CF126" s="98"/>
      <c r="CG126" s="98"/>
      <c r="CH126" s="98"/>
      <c r="CI126" s="98"/>
      <c r="CJ126" s="98"/>
      <c r="CK126" s="98"/>
      <c r="CL126" s="98"/>
      <c r="CM126" s="98"/>
      <c r="CN126" s="98"/>
      <c r="CO126" s="98"/>
      <c r="CP126" s="98"/>
      <c r="CQ126" s="98"/>
      <c r="CR126" s="98"/>
      <c r="CS126" s="98"/>
      <c r="CT126" s="98"/>
      <c r="CU126" s="98"/>
      <c r="CV126" s="98"/>
      <c r="CW126" s="98"/>
      <c r="CX126" s="98"/>
      <c r="CY126" s="98"/>
      <c r="CZ126" s="98"/>
      <c r="DA126" s="98"/>
      <c r="DB126" s="98"/>
      <c r="DC126" s="98"/>
      <c r="DD126" s="98"/>
      <c r="DE126" s="98"/>
      <c r="DF126" s="98"/>
      <c r="DG126" s="98"/>
      <c r="DH126" s="98"/>
      <c r="DI126" s="98"/>
      <c r="DJ126" s="98"/>
      <c r="DK126" s="98"/>
      <c r="DL126" s="98"/>
      <c r="DM126" s="98"/>
      <c r="DN126" s="98"/>
      <c r="DO126" s="98"/>
      <c r="DP126" s="98"/>
      <c r="DQ126" s="98"/>
      <c r="DR126" s="98"/>
      <c r="DS126" s="98"/>
      <c r="DT126" s="98"/>
      <c r="DU126" s="98"/>
      <c r="DV126" s="98"/>
      <c r="DW126" s="98"/>
      <c r="DX126" s="98"/>
      <c r="DY126" s="98"/>
      <c r="DZ126" s="98"/>
      <c r="EA126" s="98"/>
      <c r="EB126" s="98"/>
    </row>
    <row r="127" spans="1:132" x14ac:dyDescent="0.2">
      <c r="A127" s="96"/>
      <c r="B127" s="94"/>
      <c r="C127" s="95"/>
      <c r="D127" s="97"/>
      <c r="E127" s="94"/>
      <c r="F127" s="94"/>
      <c r="G127" s="95"/>
      <c r="H127" s="95"/>
      <c r="I127" s="95"/>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98"/>
      <c r="BB127" s="98"/>
      <c r="BC127" s="98"/>
      <c r="BD127" s="98"/>
      <c r="BE127" s="98"/>
      <c r="BF127" s="98"/>
      <c r="BG127" s="98"/>
      <c r="BH127" s="98"/>
      <c r="BI127" s="98"/>
      <c r="BJ127" s="98"/>
      <c r="BK127" s="98"/>
      <c r="BL127" s="98"/>
      <c r="BM127" s="98"/>
      <c r="BN127" s="98"/>
      <c r="BO127" s="98"/>
      <c r="BP127" s="98"/>
      <c r="BQ127" s="98"/>
      <c r="BR127" s="98"/>
      <c r="BS127" s="98"/>
      <c r="BT127" s="98"/>
      <c r="BU127" s="98"/>
      <c r="BV127" s="98"/>
      <c r="BW127" s="98"/>
      <c r="BX127" s="98"/>
      <c r="BY127" s="98"/>
      <c r="BZ127" s="98"/>
      <c r="CA127" s="98"/>
      <c r="CB127" s="98"/>
      <c r="CC127" s="98"/>
      <c r="CD127" s="98"/>
      <c r="CE127" s="98"/>
      <c r="CF127" s="98"/>
      <c r="CG127" s="98"/>
      <c r="CH127" s="98"/>
      <c r="CI127" s="98"/>
      <c r="CJ127" s="98"/>
      <c r="CK127" s="98"/>
      <c r="CL127" s="98"/>
      <c r="CM127" s="98"/>
      <c r="CN127" s="98"/>
      <c r="CO127" s="98"/>
      <c r="CP127" s="98"/>
      <c r="CQ127" s="98"/>
      <c r="CR127" s="98"/>
      <c r="CS127" s="98"/>
      <c r="CT127" s="98"/>
      <c r="CU127" s="98"/>
      <c r="CV127" s="98"/>
      <c r="CW127" s="98"/>
      <c r="CX127" s="98"/>
      <c r="CY127" s="98"/>
      <c r="CZ127" s="98"/>
      <c r="DA127" s="98"/>
      <c r="DB127" s="98"/>
      <c r="DC127" s="98"/>
      <c r="DD127" s="98"/>
      <c r="DE127" s="98"/>
      <c r="DF127" s="98"/>
      <c r="DG127" s="98"/>
      <c r="DH127" s="98"/>
      <c r="DI127" s="98"/>
      <c r="DJ127" s="98"/>
      <c r="DK127" s="98"/>
      <c r="DL127" s="98"/>
      <c r="DM127" s="98"/>
      <c r="DN127" s="98"/>
      <c r="DO127" s="98"/>
      <c r="DP127" s="98"/>
      <c r="DQ127" s="98"/>
      <c r="DR127" s="98"/>
      <c r="DS127" s="98"/>
      <c r="DT127" s="98"/>
      <c r="DU127" s="98"/>
      <c r="DV127" s="98"/>
      <c r="DW127" s="98"/>
      <c r="DX127" s="98"/>
      <c r="DY127" s="98"/>
      <c r="DZ127" s="98"/>
      <c r="EA127" s="98"/>
      <c r="EB127" s="98"/>
    </row>
    <row r="128" spans="1:132" x14ac:dyDescent="0.2">
      <c r="A128" s="96"/>
      <c r="B128" s="94"/>
      <c r="C128" s="95"/>
      <c r="D128" s="97"/>
      <c r="E128" s="94"/>
      <c r="F128" s="94"/>
      <c r="G128" s="95"/>
      <c r="H128" s="95"/>
      <c r="I128" s="95"/>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98"/>
      <c r="BB128" s="98"/>
      <c r="BC128" s="98"/>
      <c r="BD128" s="98"/>
      <c r="BE128" s="98"/>
      <c r="BF128" s="98"/>
      <c r="BG128" s="98"/>
      <c r="BH128" s="98"/>
      <c r="BI128" s="98"/>
      <c r="BJ128" s="98"/>
      <c r="BK128" s="98"/>
      <c r="BL128" s="98"/>
      <c r="BM128" s="98"/>
      <c r="BN128" s="98"/>
      <c r="BO128" s="98"/>
      <c r="BP128" s="98"/>
      <c r="BQ128" s="98"/>
      <c r="BR128" s="98"/>
      <c r="BS128" s="98"/>
      <c r="BT128" s="98"/>
      <c r="BU128" s="98"/>
      <c r="BV128" s="98"/>
      <c r="BW128" s="98"/>
      <c r="BX128" s="98"/>
      <c r="BY128" s="98"/>
      <c r="BZ128" s="98"/>
      <c r="CA128" s="98"/>
      <c r="CB128" s="98"/>
      <c r="CC128" s="98"/>
      <c r="CD128" s="98"/>
      <c r="CE128" s="98"/>
      <c r="CF128" s="98"/>
      <c r="CG128" s="98"/>
      <c r="CH128" s="98"/>
      <c r="CI128" s="98"/>
      <c r="CJ128" s="98"/>
      <c r="CK128" s="98"/>
      <c r="CL128" s="98"/>
      <c r="CM128" s="98"/>
      <c r="CN128" s="98"/>
      <c r="CO128" s="98"/>
      <c r="CP128" s="98"/>
      <c r="CQ128" s="98"/>
      <c r="CR128" s="98"/>
      <c r="CS128" s="98"/>
      <c r="CT128" s="98"/>
      <c r="CU128" s="98"/>
      <c r="CV128" s="98"/>
      <c r="CW128" s="98"/>
      <c r="CX128" s="98"/>
      <c r="CY128" s="98"/>
      <c r="CZ128" s="98"/>
      <c r="DA128" s="98"/>
      <c r="DB128" s="98"/>
      <c r="DC128" s="98"/>
      <c r="DD128" s="98"/>
      <c r="DE128" s="98"/>
      <c r="DF128" s="98"/>
      <c r="DG128" s="98"/>
      <c r="DH128" s="98"/>
      <c r="DI128" s="98"/>
      <c r="DJ128" s="98"/>
      <c r="DK128" s="98"/>
      <c r="DL128" s="98"/>
      <c r="DM128" s="98"/>
      <c r="DN128" s="98"/>
      <c r="DO128" s="98"/>
      <c r="DP128" s="98"/>
      <c r="DQ128" s="98"/>
      <c r="DR128" s="98"/>
      <c r="DS128" s="98"/>
      <c r="DT128" s="98"/>
      <c r="DU128" s="98"/>
      <c r="DV128" s="98"/>
      <c r="DW128" s="98"/>
      <c r="DX128" s="98"/>
      <c r="DY128" s="98"/>
      <c r="DZ128" s="98"/>
      <c r="EA128" s="98"/>
      <c r="EB128" s="98"/>
    </row>
    <row r="129" spans="1:132" x14ac:dyDescent="0.2">
      <c r="A129" s="96"/>
      <c r="B129" s="94"/>
      <c r="C129" s="95"/>
      <c r="D129" s="97"/>
      <c r="E129" s="94"/>
      <c r="F129" s="94"/>
      <c r="G129" s="95"/>
      <c r="H129" s="95"/>
      <c r="I129" s="95"/>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98"/>
      <c r="BB129" s="98"/>
      <c r="BC129" s="98"/>
      <c r="BD129" s="98"/>
      <c r="BE129" s="98"/>
      <c r="BF129" s="98"/>
      <c r="BG129" s="98"/>
      <c r="BH129" s="98"/>
      <c r="BI129" s="98"/>
      <c r="BJ129" s="98"/>
      <c r="BK129" s="98"/>
      <c r="BL129" s="98"/>
      <c r="BM129" s="98"/>
      <c r="BN129" s="98"/>
      <c r="BO129" s="98"/>
      <c r="BP129" s="98"/>
      <c r="BQ129" s="98"/>
      <c r="BR129" s="98"/>
      <c r="BS129" s="98"/>
      <c r="BT129" s="98"/>
      <c r="BU129" s="98"/>
      <c r="BV129" s="98"/>
      <c r="BW129" s="98"/>
      <c r="BX129" s="98"/>
      <c r="BY129" s="98"/>
      <c r="BZ129" s="98"/>
      <c r="CA129" s="98"/>
      <c r="CB129" s="98"/>
      <c r="CC129" s="98"/>
      <c r="CD129" s="98"/>
      <c r="CE129" s="98"/>
      <c r="CF129" s="98"/>
      <c r="CG129" s="98"/>
      <c r="CH129" s="98"/>
      <c r="CI129" s="98"/>
      <c r="CJ129" s="98"/>
      <c r="CK129" s="98"/>
      <c r="CL129" s="98"/>
      <c r="CM129" s="98"/>
      <c r="CN129" s="98"/>
      <c r="CO129" s="98"/>
      <c r="CP129" s="98"/>
      <c r="CQ129" s="98"/>
      <c r="CR129" s="98"/>
      <c r="CS129" s="98"/>
      <c r="CT129" s="98"/>
      <c r="CU129" s="98"/>
      <c r="CV129" s="98"/>
      <c r="CW129" s="98"/>
      <c r="CX129" s="98"/>
      <c r="CY129" s="98"/>
      <c r="CZ129" s="98"/>
      <c r="DA129" s="98"/>
      <c r="DB129" s="98"/>
      <c r="DC129" s="98"/>
      <c r="DD129" s="98"/>
      <c r="DE129" s="98"/>
      <c r="DF129" s="98"/>
      <c r="DG129" s="98"/>
      <c r="DH129" s="98"/>
      <c r="DI129" s="98"/>
      <c r="DJ129" s="98"/>
      <c r="DK129" s="98"/>
      <c r="DL129" s="98"/>
      <c r="DM129" s="98"/>
      <c r="DN129" s="98"/>
      <c r="DO129" s="98"/>
      <c r="DP129" s="98"/>
      <c r="DQ129" s="98"/>
      <c r="DR129" s="98"/>
      <c r="DS129" s="98"/>
      <c r="DT129" s="98"/>
      <c r="DU129" s="98"/>
      <c r="DV129" s="98"/>
      <c r="DW129" s="98"/>
      <c r="DX129" s="98"/>
      <c r="DY129" s="98"/>
      <c r="DZ129" s="98"/>
      <c r="EA129" s="98"/>
      <c r="EB129" s="98"/>
    </row>
    <row r="130" spans="1:132" x14ac:dyDescent="0.2">
      <c r="A130" s="96"/>
      <c r="B130" s="94"/>
      <c r="C130" s="95"/>
      <c r="D130" s="97"/>
      <c r="E130" s="94"/>
      <c r="F130" s="94"/>
      <c r="G130" s="95"/>
      <c r="H130" s="95"/>
      <c r="I130" s="95"/>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c r="BD130" s="98"/>
      <c r="BE130" s="98"/>
      <c r="BF130" s="98"/>
      <c r="BG130" s="98"/>
      <c r="BH130" s="98"/>
      <c r="BI130" s="98"/>
      <c r="BJ130" s="98"/>
      <c r="BK130" s="98"/>
      <c r="BL130" s="98"/>
      <c r="BM130" s="98"/>
      <c r="BN130" s="98"/>
      <c r="BO130" s="98"/>
      <c r="BP130" s="98"/>
      <c r="BQ130" s="98"/>
      <c r="BR130" s="98"/>
      <c r="BS130" s="98"/>
      <c r="BT130" s="98"/>
      <c r="BU130" s="98"/>
      <c r="BV130" s="98"/>
      <c r="BW130" s="98"/>
      <c r="BX130" s="98"/>
      <c r="BY130" s="98"/>
      <c r="BZ130" s="98"/>
      <c r="CA130" s="98"/>
      <c r="CB130" s="98"/>
      <c r="CC130" s="98"/>
      <c r="CD130" s="98"/>
      <c r="CE130" s="98"/>
      <c r="CF130" s="98"/>
      <c r="CG130" s="98"/>
      <c r="CH130" s="98"/>
      <c r="CI130" s="98"/>
      <c r="CJ130" s="98"/>
      <c r="CK130" s="98"/>
      <c r="CL130" s="98"/>
      <c r="CM130" s="98"/>
      <c r="CN130" s="98"/>
      <c r="CO130" s="98"/>
      <c r="CP130" s="98"/>
      <c r="CQ130" s="98"/>
      <c r="CR130" s="98"/>
      <c r="CS130" s="98"/>
      <c r="CT130" s="98"/>
      <c r="CU130" s="98"/>
      <c r="CV130" s="98"/>
      <c r="CW130" s="98"/>
      <c r="CX130" s="98"/>
      <c r="CY130" s="98"/>
      <c r="CZ130" s="98"/>
      <c r="DA130" s="98"/>
      <c r="DB130" s="98"/>
      <c r="DC130" s="98"/>
      <c r="DD130" s="98"/>
      <c r="DE130" s="98"/>
      <c r="DF130" s="98"/>
      <c r="DG130" s="98"/>
      <c r="DH130" s="98"/>
      <c r="DI130" s="98"/>
      <c r="DJ130" s="98"/>
      <c r="DK130" s="98"/>
      <c r="DL130" s="98"/>
      <c r="DM130" s="98"/>
      <c r="DN130" s="98"/>
      <c r="DO130" s="98"/>
      <c r="DP130" s="98"/>
      <c r="DQ130" s="98"/>
      <c r="DR130" s="98"/>
      <c r="DS130" s="98"/>
      <c r="DT130" s="98"/>
      <c r="DU130" s="98"/>
      <c r="DV130" s="98"/>
      <c r="DW130" s="98"/>
      <c r="DX130" s="98"/>
      <c r="DY130" s="98"/>
      <c r="DZ130" s="98"/>
      <c r="EA130" s="98"/>
      <c r="EB130" s="98"/>
    </row>
    <row r="131" spans="1:132" x14ac:dyDescent="0.2">
      <c r="A131" s="96"/>
      <c r="B131" s="94"/>
      <c r="C131" s="95"/>
      <c r="D131" s="97"/>
      <c r="E131" s="94"/>
      <c r="F131" s="94"/>
      <c r="G131" s="95"/>
      <c r="H131" s="95"/>
      <c r="I131" s="95"/>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c r="BD131" s="98"/>
      <c r="BE131" s="98"/>
      <c r="BF131" s="98"/>
      <c r="BG131" s="98"/>
      <c r="BH131" s="98"/>
      <c r="BI131" s="98"/>
      <c r="BJ131" s="98"/>
      <c r="BK131" s="98"/>
      <c r="BL131" s="98"/>
      <c r="BM131" s="98"/>
      <c r="BN131" s="98"/>
      <c r="BO131" s="98"/>
      <c r="BP131" s="98"/>
      <c r="BQ131" s="98"/>
      <c r="BR131" s="98"/>
      <c r="BS131" s="98"/>
      <c r="BT131" s="98"/>
      <c r="BU131" s="98"/>
      <c r="BV131" s="98"/>
      <c r="BW131" s="98"/>
      <c r="BX131" s="98"/>
      <c r="BY131" s="98"/>
      <c r="BZ131" s="98"/>
      <c r="CA131" s="98"/>
      <c r="CB131" s="98"/>
      <c r="CC131" s="98"/>
      <c r="CD131" s="98"/>
      <c r="CE131" s="98"/>
      <c r="CF131" s="98"/>
      <c r="CG131" s="98"/>
      <c r="CH131" s="98"/>
      <c r="CI131" s="98"/>
      <c r="CJ131" s="98"/>
      <c r="CK131" s="98"/>
      <c r="CL131" s="98"/>
      <c r="CM131" s="98"/>
      <c r="CN131" s="98"/>
      <c r="CO131" s="98"/>
      <c r="CP131" s="98"/>
      <c r="CQ131" s="98"/>
      <c r="CR131" s="98"/>
      <c r="CS131" s="98"/>
      <c r="CT131" s="98"/>
      <c r="CU131" s="98"/>
      <c r="CV131" s="98"/>
      <c r="CW131" s="98"/>
      <c r="CX131" s="98"/>
      <c r="CY131" s="98"/>
      <c r="CZ131" s="98"/>
      <c r="DA131" s="98"/>
      <c r="DB131" s="98"/>
      <c r="DC131" s="98"/>
      <c r="DD131" s="98"/>
      <c r="DE131" s="98"/>
      <c r="DF131" s="98"/>
      <c r="DG131" s="98"/>
      <c r="DH131" s="98"/>
      <c r="DI131" s="98"/>
      <c r="DJ131" s="98"/>
      <c r="DK131" s="98"/>
      <c r="DL131" s="98"/>
      <c r="DM131" s="98"/>
      <c r="DN131" s="98"/>
      <c r="DO131" s="98"/>
      <c r="DP131" s="98"/>
      <c r="DQ131" s="98"/>
      <c r="DR131" s="98"/>
      <c r="DS131" s="98"/>
      <c r="DT131" s="98"/>
      <c r="DU131" s="98"/>
      <c r="DV131" s="98"/>
      <c r="DW131" s="98"/>
      <c r="DX131" s="98"/>
      <c r="DY131" s="98"/>
      <c r="DZ131" s="98"/>
      <c r="EA131" s="98"/>
      <c r="EB131" s="98"/>
    </row>
    <row r="132" spans="1:132" x14ac:dyDescent="0.2">
      <c r="A132" s="96"/>
      <c r="B132" s="94"/>
      <c r="C132" s="95"/>
      <c r="D132" s="97"/>
      <c r="E132" s="94"/>
      <c r="F132" s="94"/>
      <c r="G132" s="95"/>
      <c r="H132" s="95"/>
      <c r="I132" s="95"/>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c r="BD132" s="98"/>
      <c r="BE132" s="98"/>
      <c r="BF132" s="98"/>
      <c r="BG132" s="98"/>
      <c r="BH132" s="98"/>
      <c r="BI132" s="98"/>
      <c r="BJ132" s="98"/>
      <c r="BK132" s="98"/>
      <c r="BL132" s="98"/>
      <c r="BM132" s="98"/>
      <c r="BN132" s="98"/>
      <c r="BO132" s="98"/>
      <c r="BP132" s="98"/>
      <c r="BQ132" s="98"/>
      <c r="BR132" s="98"/>
      <c r="BS132" s="98"/>
      <c r="BT132" s="98"/>
      <c r="BU132" s="98"/>
      <c r="BV132" s="98"/>
      <c r="BW132" s="98"/>
      <c r="BX132" s="98"/>
      <c r="BY132" s="98"/>
      <c r="BZ132" s="98"/>
      <c r="CA132" s="98"/>
      <c r="CB132" s="98"/>
      <c r="CC132" s="98"/>
      <c r="CD132" s="98"/>
      <c r="CE132" s="98"/>
      <c r="CF132" s="98"/>
      <c r="CG132" s="98"/>
      <c r="CH132" s="98"/>
      <c r="CI132" s="98"/>
      <c r="CJ132" s="98"/>
      <c r="CK132" s="98"/>
      <c r="CL132" s="98"/>
      <c r="CM132" s="98"/>
      <c r="CN132" s="98"/>
      <c r="CO132" s="98"/>
      <c r="CP132" s="98"/>
      <c r="CQ132" s="98"/>
      <c r="CR132" s="98"/>
      <c r="CS132" s="98"/>
      <c r="CT132" s="98"/>
      <c r="CU132" s="98"/>
      <c r="CV132" s="98"/>
      <c r="CW132" s="98"/>
      <c r="CX132" s="98"/>
      <c r="CY132" s="98"/>
      <c r="CZ132" s="98"/>
      <c r="DA132" s="98"/>
      <c r="DB132" s="98"/>
      <c r="DC132" s="98"/>
      <c r="DD132" s="98"/>
      <c r="DE132" s="98"/>
      <c r="DF132" s="98"/>
      <c r="DG132" s="98"/>
      <c r="DH132" s="98"/>
      <c r="DI132" s="98"/>
      <c r="DJ132" s="98"/>
      <c r="DK132" s="98"/>
      <c r="DL132" s="98"/>
      <c r="DM132" s="98"/>
      <c r="DN132" s="98"/>
      <c r="DO132" s="98"/>
      <c r="DP132" s="98"/>
      <c r="DQ132" s="98"/>
      <c r="DR132" s="98"/>
      <c r="DS132" s="98"/>
      <c r="DT132" s="98"/>
      <c r="DU132" s="98"/>
      <c r="DV132" s="98"/>
      <c r="DW132" s="98"/>
      <c r="DX132" s="98"/>
      <c r="DY132" s="98"/>
      <c r="DZ132" s="98"/>
      <c r="EA132" s="98"/>
      <c r="EB132" s="98"/>
    </row>
    <row r="133" spans="1:132" x14ac:dyDescent="0.2">
      <c r="A133" s="96"/>
      <c r="B133" s="94"/>
      <c r="C133" s="95"/>
      <c r="D133" s="97"/>
      <c r="E133" s="94"/>
      <c r="F133" s="94"/>
      <c r="G133" s="95"/>
      <c r="H133" s="95"/>
      <c r="I133" s="95"/>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c r="BD133" s="98"/>
      <c r="BE133" s="98"/>
      <c r="BF133" s="98"/>
      <c r="BG133" s="98"/>
      <c r="BH133" s="98"/>
      <c r="BI133" s="98"/>
      <c r="BJ133" s="98"/>
      <c r="BK133" s="98"/>
      <c r="BL133" s="98"/>
      <c r="BM133" s="98"/>
      <c r="BN133" s="98"/>
      <c r="BO133" s="98"/>
      <c r="BP133" s="98"/>
      <c r="BQ133" s="98"/>
      <c r="BR133" s="98"/>
      <c r="BS133" s="98"/>
      <c r="BT133" s="98"/>
      <c r="BU133" s="98"/>
      <c r="BV133" s="98"/>
      <c r="BW133" s="98"/>
      <c r="BX133" s="98"/>
      <c r="BY133" s="98"/>
      <c r="BZ133" s="98"/>
      <c r="CA133" s="98"/>
      <c r="CB133" s="98"/>
      <c r="CC133" s="98"/>
      <c r="CD133" s="98"/>
      <c r="CE133" s="98"/>
      <c r="CF133" s="98"/>
      <c r="CG133" s="98"/>
      <c r="CH133" s="98"/>
      <c r="CI133" s="98"/>
      <c r="CJ133" s="98"/>
      <c r="CK133" s="98"/>
      <c r="CL133" s="98"/>
      <c r="CM133" s="98"/>
      <c r="CN133" s="98"/>
      <c r="CO133" s="98"/>
      <c r="CP133" s="98"/>
      <c r="CQ133" s="98"/>
      <c r="CR133" s="98"/>
      <c r="CS133" s="98"/>
      <c r="CT133" s="98"/>
      <c r="CU133" s="98"/>
      <c r="CV133" s="98"/>
      <c r="CW133" s="98"/>
      <c r="CX133" s="98"/>
      <c r="CY133" s="98"/>
      <c r="CZ133" s="98"/>
      <c r="DA133" s="98"/>
      <c r="DB133" s="98"/>
      <c r="DC133" s="98"/>
      <c r="DD133" s="98"/>
      <c r="DE133" s="98"/>
      <c r="DF133" s="98"/>
      <c r="DG133" s="98"/>
      <c r="DH133" s="98"/>
      <c r="DI133" s="98"/>
      <c r="DJ133" s="98"/>
      <c r="DK133" s="98"/>
      <c r="DL133" s="98"/>
      <c r="DM133" s="98"/>
      <c r="DN133" s="98"/>
      <c r="DO133" s="98"/>
      <c r="DP133" s="98"/>
      <c r="DQ133" s="98"/>
      <c r="DR133" s="98"/>
      <c r="DS133" s="98"/>
      <c r="DT133" s="98"/>
      <c r="DU133" s="98"/>
      <c r="DV133" s="98"/>
      <c r="DW133" s="98"/>
      <c r="DX133" s="98"/>
      <c r="DY133" s="98"/>
      <c r="DZ133" s="98"/>
      <c r="EA133" s="98"/>
      <c r="EB133" s="98"/>
    </row>
    <row r="134" spans="1:132" x14ac:dyDescent="0.2">
      <c r="A134" s="96"/>
      <c r="B134" s="94"/>
      <c r="C134" s="95"/>
      <c r="D134" s="97"/>
      <c r="E134" s="94"/>
      <c r="F134" s="94"/>
      <c r="G134" s="95"/>
      <c r="H134" s="95"/>
      <c r="I134" s="95"/>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c r="BD134" s="98"/>
      <c r="BE134" s="98"/>
      <c r="BF134" s="98"/>
      <c r="BG134" s="98"/>
      <c r="BH134" s="98"/>
      <c r="BI134" s="98"/>
      <c r="BJ134" s="98"/>
      <c r="BK134" s="98"/>
      <c r="BL134" s="98"/>
      <c r="BM134" s="98"/>
      <c r="BN134" s="98"/>
      <c r="BO134" s="98"/>
      <c r="BP134" s="98"/>
      <c r="BQ134" s="98"/>
      <c r="BR134" s="98"/>
      <c r="BS134" s="98"/>
      <c r="BT134" s="98"/>
      <c r="BU134" s="98"/>
      <c r="BV134" s="98"/>
      <c r="BW134" s="98"/>
      <c r="BX134" s="98"/>
      <c r="BY134" s="98"/>
      <c r="BZ134" s="98"/>
      <c r="CA134" s="98"/>
      <c r="CB134" s="98"/>
      <c r="CC134" s="98"/>
      <c r="CD134" s="98"/>
      <c r="CE134" s="98"/>
      <c r="CF134" s="98"/>
      <c r="CG134" s="98"/>
      <c r="CH134" s="98"/>
      <c r="CI134" s="98"/>
      <c r="CJ134" s="98"/>
      <c r="CK134" s="98"/>
      <c r="CL134" s="98"/>
      <c r="CM134" s="98"/>
      <c r="CN134" s="98"/>
      <c r="CO134" s="98"/>
      <c r="CP134" s="98"/>
      <c r="CQ134" s="98"/>
      <c r="CR134" s="98"/>
      <c r="CS134" s="98"/>
      <c r="CT134" s="98"/>
      <c r="CU134" s="98"/>
      <c r="CV134" s="98"/>
      <c r="CW134" s="98"/>
      <c r="CX134" s="98"/>
      <c r="CY134" s="98"/>
      <c r="CZ134" s="98"/>
      <c r="DA134" s="98"/>
      <c r="DB134" s="98"/>
      <c r="DC134" s="98"/>
      <c r="DD134" s="98"/>
      <c r="DE134" s="98"/>
      <c r="DF134" s="98"/>
      <c r="DG134" s="98"/>
      <c r="DH134" s="98"/>
      <c r="DI134" s="98"/>
      <c r="DJ134" s="98"/>
      <c r="DK134" s="98"/>
      <c r="DL134" s="98"/>
      <c r="DM134" s="98"/>
      <c r="DN134" s="98"/>
      <c r="DO134" s="98"/>
      <c r="DP134" s="98"/>
      <c r="DQ134" s="98"/>
      <c r="DR134" s="98"/>
      <c r="DS134" s="98"/>
      <c r="DT134" s="98"/>
      <c r="DU134" s="98"/>
      <c r="DV134" s="98"/>
      <c r="DW134" s="98"/>
      <c r="DX134" s="98"/>
      <c r="DY134" s="98"/>
      <c r="DZ134" s="98"/>
      <c r="EA134" s="98"/>
      <c r="EB134" s="98"/>
    </row>
    <row r="135" spans="1:132" x14ac:dyDescent="0.2">
      <c r="A135" s="96"/>
      <c r="B135" s="94"/>
      <c r="C135" s="95"/>
      <c r="D135" s="97"/>
      <c r="E135" s="94"/>
      <c r="F135" s="94"/>
      <c r="G135" s="95"/>
      <c r="H135" s="95"/>
      <c r="I135" s="95"/>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c r="BD135" s="98"/>
      <c r="BE135" s="98"/>
      <c r="BF135" s="98"/>
      <c r="BG135" s="98"/>
      <c r="BH135" s="98"/>
      <c r="BI135" s="98"/>
      <c r="BJ135" s="98"/>
      <c r="BK135" s="98"/>
      <c r="BL135" s="98"/>
      <c r="BM135" s="98"/>
      <c r="BN135" s="98"/>
      <c r="BO135" s="98"/>
      <c r="BP135" s="98"/>
      <c r="BQ135" s="98"/>
      <c r="BR135" s="98"/>
      <c r="BS135" s="98"/>
      <c r="BT135" s="98"/>
      <c r="BU135" s="98"/>
      <c r="BV135" s="98"/>
      <c r="BW135" s="98"/>
      <c r="BX135" s="98"/>
      <c r="BY135" s="98"/>
      <c r="BZ135" s="98"/>
      <c r="CA135" s="98"/>
      <c r="CB135" s="98"/>
      <c r="CC135" s="98"/>
      <c r="CD135" s="98"/>
      <c r="CE135" s="98"/>
      <c r="CF135" s="98"/>
      <c r="CG135" s="98"/>
      <c r="CH135" s="98"/>
      <c r="CI135" s="98"/>
      <c r="CJ135" s="98"/>
      <c r="CK135" s="98"/>
      <c r="CL135" s="98"/>
      <c r="CM135" s="98"/>
      <c r="CN135" s="98"/>
      <c r="CO135" s="98"/>
      <c r="CP135" s="98"/>
      <c r="CQ135" s="98"/>
      <c r="CR135" s="98"/>
      <c r="CS135" s="98"/>
      <c r="CT135" s="98"/>
      <c r="CU135" s="98"/>
      <c r="CV135" s="98"/>
      <c r="CW135" s="98"/>
      <c r="CX135" s="98"/>
      <c r="CY135" s="98"/>
      <c r="CZ135" s="98"/>
      <c r="DA135" s="98"/>
      <c r="DB135" s="98"/>
      <c r="DC135" s="98"/>
      <c r="DD135" s="98"/>
      <c r="DE135" s="98"/>
      <c r="DF135" s="98"/>
      <c r="DG135" s="98"/>
      <c r="DH135" s="98"/>
      <c r="DI135" s="98"/>
      <c r="DJ135" s="98"/>
      <c r="DK135" s="98"/>
      <c r="DL135" s="98"/>
      <c r="DM135" s="98"/>
      <c r="DN135" s="98"/>
      <c r="DO135" s="98"/>
      <c r="DP135" s="98"/>
      <c r="DQ135" s="98"/>
      <c r="DR135" s="98"/>
      <c r="DS135" s="98"/>
      <c r="DT135" s="98"/>
      <c r="DU135" s="98"/>
      <c r="DV135" s="98"/>
      <c r="DW135" s="98"/>
      <c r="DX135" s="98"/>
      <c r="DY135" s="98"/>
      <c r="DZ135" s="98"/>
      <c r="EA135" s="98"/>
      <c r="EB135" s="98"/>
    </row>
    <row r="136" spans="1:132" x14ac:dyDescent="0.2">
      <c r="A136" s="96"/>
      <c r="B136" s="94"/>
      <c r="C136" s="95"/>
      <c r="D136" s="97"/>
      <c r="E136" s="94"/>
      <c r="F136" s="94"/>
      <c r="G136" s="95"/>
      <c r="H136" s="95"/>
      <c r="I136" s="95"/>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c r="BD136" s="98"/>
      <c r="BE136" s="98"/>
      <c r="BF136" s="98"/>
      <c r="BG136" s="98"/>
      <c r="BH136" s="98"/>
      <c r="BI136" s="98"/>
      <c r="BJ136" s="98"/>
      <c r="BK136" s="98"/>
      <c r="BL136" s="98"/>
      <c r="BM136" s="98"/>
      <c r="BN136" s="98"/>
      <c r="BO136" s="98"/>
      <c r="BP136" s="98"/>
      <c r="BQ136" s="98"/>
      <c r="BR136" s="98"/>
      <c r="BS136" s="98"/>
      <c r="BT136" s="98"/>
      <c r="BU136" s="98"/>
      <c r="BV136" s="98"/>
      <c r="BW136" s="98"/>
      <c r="BX136" s="98"/>
      <c r="BY136" s="98"/>
      <c r="BZ136" s="98"/>
      <c r="CA136" s="98"/>
      <c r="CB136" s="98"/>
      <c r="CC136" s="98"/>
      <c r="CD136" s="98"/>
      <c r="CE136" s="98"/>
      <c r="CF136" s="98"/>
      <c r="CG136" s="98"/>
      <c r="CH136" s="98"/>
      <c r="CI136" s="98"/>
      <c r="CJ136" s="98"/>
      <c r="CK136" s="98"/>
      <c r="CL136" s="98"/>
      <c r="CM136" s="98"/>
      <c r="CN136" s="98"/>
      <c r="CO136" s="98"/>
      <c r="CP136" s="98"/>
      <c r="CQ136" s="98"/>
      <c r="CR136" s="98"/>
      <c r="CS136" s="98"/>
      <c r="CT136" s="98"/>
      <c r="CU136" s="98"/>
      <c r="CV136" s="98"/>
      <c r="CW136" s="98"/>
      <c r="CX136" s="98"/>
      <c r="CY136" s="98"/>
      <c r="CZ136" s="98"/>
      <c r="DA136" s="98"/>
      <c r="DB136" s="98"/>
      <c r="DC136" s="98"/>
      <c r="DD136" s="98"/>
      <c r="DE136" s="98"/>
      <c r="DF136" s="98"/>
      <c r="DG136" s="98"/>
      <c r="DH136" s="98"/>
      <c r="DI136" s="98"/>
      <c r="DJ136" s="98"/>
      <c r="DK136" s="98"/>
      <c r="DL136" s="98"/>
      <c r="DM136" s="98"/>
      <c r="DN136" s="98"/>
      <c r="DO136" s="98"/>
      <c r="DP136" s="98"/>
      <c r="DQ136" s="98"/>
      <c r="DR136" s="98"/>
      <c r="DS136" s="98"/>
      <c r="DT136" s="98"/>
      <c r="DU136" s="98"/>
      <c r="DV136" s="98"/>
      <c r="DW136" s="98"/>
      <c r="DX136" s="98"/>
      <c r="DY136" s="98"/>
      <c r="DZ136" s="98"/>
      <c r="EA136" s="98"/>
      <c r="EB136" s="98"/>
    </row>
    <row r="137" spans="1:132" x14ac:dyDescent="0.2">
      <c r="A137" s="96"/>
      <c r="B137" s="94"/>
      <c r="C137" s="95"/>
      <c r="D137" s="97"/>
      <c r="E137" s="94"/>
      <c r="F137" s="94"/>
      <c r="G137" s="95"/>
      <c r="H137" s="95"/>
      <c r="I137" s="95"/>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c r="BD137" s="98"/>
      <c r="BE137" s="98"/>
      <c r="BF137" s="98"/>
      <c r="BG137" s="98"/>
      <c r="BH137" s="98"/>
      <c r="BI137" s="98"/>
      <c r="BJ137" s="98"/>
      <c r="BK137" s="98"/>
      <c r="BL137" s="98"/>
      <c r="BM137" s="98"/>
      <c r="BN137" s="98"/>
      <c r="BO137" s="98"/>
      <c r="BP137" s="98"/>
      <c r="BQ137" s="98"/>
      <c r="BR137" s="98"/>
      <c r="BS137" s="98"/>
      <c r="BT137" s="98"/>
      <c r="BU137" s="98"/>
      <c r="BV137" s="98"/>
      <c r="BW137" s="98"/>
      <c r="BX137" s="98"/>
      <c r="BY137" s="98"/>
      <c r="BZ137" s="98"/>
      <c r="CA137" s="98"/>
      <c r="CB137" s="98"/>
      <c r="CC137" s="98"/>
      <c r="CD137" s="98"/>
      <c r="CE137" s="98"/>
      <c r="CF137" s="98"/>
      <c r="CG137" s="98"/>
      <c r="CH137" s="98"/>
      <c r="CI137" s="98"/>
      <c r="CJ137" s="98"/>
      <c r="CK137" s="98"/>
      <c r="CL137" s="98"/>
      <c r="CM137" s="98"/>
      <c r="CN137" s="98"/>
      <c r="CO137" s="98"/>
      <c r="CP137" s="98"/>
      <c r="CQ137" s="98"/>
      <c r="CR137" s="98"/>
      <c r="CS137" s="98"/>
      <c r="CT137" s="98"/>
      <c r="CU137" s="98"/>
      <c r="CV137" s="98"/>
      <c r="CW137" s="98"/>
      <c r="CX137" s="98"/>
      <c r="CY137" s="98"/>
      <c r="CZ137" s="98"/>
      <c r="DA137" s="98"/>
      <c r="DB137" s="98"/>
      <c r="DC137" s="98"/>
      <c r="DD137" s="98"/>
      <c r="DE137" s="98"/>
      <c r="DF137" s="98"/>
      <c r="DG137" s="98"/>
      <c r="DH137" s="98"/>
      <c r="DI137" s="98"/>
      <c r="DJ137" s="98"/>
      <c r="DK137" s="98"/>
      <c r="DL137" s="98"/>
      <c r="DM137" s="98"/>
      <c r="DN137" s="98"/>
      <c r="DO137" s="98"/>
      <c r="DP137" s="98"/>
      <c r="DQ137" s="98"/>
      <c r="DR137" s="98"/>
      <c r="DS137" s="98"/>
      <c r="DT137" s="98"/>
      <c r="DU137" s="98"/>
      <c r="DV137" s="98"/>
      <c r="DW137" s="98"/>
      <c r="DX137" s="98"/>
      <c r="DY137" s="98"/>
      <c r="DZ137" s="98"/>
      <c r="EA137" s="98"/>
      <c r="EB137" s="98"/>
    </row>
    <row r="138" spans="1:132" x14ac:dyDescent="0.2">
      <c r="A138" s="96"/>
      <c r="B138" s="94"/>
      <c r="C138" s="95"/>
      <c r="D138" s="97"/>
      <c r="E138" s="94"/>
      <c r="F138" s="94"/>
      <c r="G138" s="95"/>
      <c r="H138" s="95"/>
      <c r="I138" s="95"/>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c r="BD138" s="98"/>
      <c r="BE138" s="98"/>
      <c r="BF138" s="98"/>
      <c r="BG138" s="98"/>
      <c r="BH138" s="98"/>
      <c r="BI138" s="98"/>
      <c r="BJ138" s="98"/>
      <c r="BK138" s="98"/>
      <c r="BL138" s="98"/>
      <c r="BM138" s="98"/>
      <c r="BN138" s="98"/>
      <c r="BO138" s="98"/>
      <c r="BP138" s="98"/>
      <c r="BQ138" s="98"/>
      <c r="BR138" s="98"/>
      <c r="BS138" s="98"/>
      <c r="BT138" s="98"/>
      <c r="BU138" s="98"/>
      <c r="BV138" s="98"/>
      <c r="BW138" s="98"/>
      <c r="BX138" s="98"/>
      <c r="BY138" s="98"/>
      <c r="BZ138" s="98"/>
      <c r="CA138" s="98"/>
      <c r="CB138" s="98"/>
      <c r="CC138" s="98"/>
      <c r="CD138" s="98"/>
      <c r="CE138" s="98"/>
      <c r="CF138" s="98"/>
      <c r="CG138" s="98"/>
      <c r="CH138" s="98"/>
      <c r="CI138" s="98"/>
      <c r="CJ138" s="98"/>
      <c r="CK138" s="98"/>
      <c r="CL138" s="98"/>
      <c r="CM138" s="98"/>
      <c r="CN138" s="98"/>
      <c r="CO138" s="98"/>
      <c r="CP138" s="98"/>
      <c r="CQ138" s="98"/>
      <c r="CR138" s="98"/>
      <c r="CS138" s="98"/>
      <c r="CT138" s="98"/>
      <c r="CU138" s="98"/>
      <c r="CV138" s="98"/>
      <c r="CW138" s="98"/>
      <c r="CX138" s="98"/>
      <c r="CY138" s="98"/>
      <c r="CZ138" s="98"/>
      <c r="DA138" s="98"/>
      <c r="DB138" s="98"/>
      <c r="DC138" s="98"/>
      <c r="DD138" s="98"/>
      <c r="DE138" s="98"/>
      <c r="DF138" s="98"/>
      <c r="DG138" s="98"/>
      <c r="DH138" s="98"/>
      <c r="DI138" s="98"/>
      <c r="DJ138" s="98"/>
      <c r="DK138" s="98"/>
      <c r="DL138" s="98"/>
      <c r="DM138" s="98"/>
      <c r="DN138" s="98"/>
      <c r="DO138" s="98"/>
      <c r="DP138" s="98"/>
      <c r="DQ138" s="98"/>
      <c r="DR138" s="98"/>
      <c r="DS138" s="98"/>
      <c r="DT138" s="98"/>
      <c r="DU138" s="98"/>
      <c r="DV138" s="98"/>
      <c r="DW138" s="98"/>
      <c r="DX138" s="98"/>
      <c r="DY138" s="98"/>
      <c r="DZ138" s="98"/>
      <c r="EA138" s="98"/>
      <c r="EB138" s="98"/>
    </row>
    <row r="139" spans="1:132" x14ac:dyDescent="0.2">
      <c r="A139" s="96"/>
      <c r="B139" s="94"/>
      <c r="C139" s="95"/>
      <c r="D139" s="97"/>
      <c r="E139" s="94"/>
      <c r="F139" s="94"/>
      <c r="G139" s="95"/>
      <c r="H139" s="95"/>
      <c r="I139" s="95"/>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c r="BD139" s="98"/>
      <c r="BE139" s="98"/>
      <c r="BF139" s="98"/>
      <c r="BG139" s="98"/>
      <c r="BH139" s="98"/>
      <c r="BI139" s="98"/>
      <c r="BJ139" s="98"/>
      <c r="BK139" s="98"/>
      <c r="BL139" s="98"/>
      <c r="BM139" s="98"/>
      <c r="BN139" s="98"/>
      <c r="BO139" s="98"/>
      <c r="BP139" s="98"/>
      <c r="BQ139" s="98"/>
      <c r="BR139" s="98"/>
      <c r="BS139" s="98"/>
      <c r="BT139" s="98"/>
      <c r="BU139" s="98"/>
      <c r="BV139" s="98"/>
      <c r="BW139" s="98"/>
      <c r="BX139" s="98"/>
      <c r="BY139" s="98"/>
      <c r="BZ139" s="98"/>
      <c r="CA139" s="98"/>
      <c r="CB139" s="98"/>
      <c r="CC139" s="98"/>
      <c r="CD139" s="98"/>
      <c r="CE139" s="98"/>
      <c r="CF139" s="98"/>
      <c r="CG139" s="98"/>
      <c r="CH139" s="98"/>
      <c r="CI139" s="98"/>
      <c r="CJ139" s="98"/>
      <c r="CK139" s="98"/>
      <c r="CL139" s="98"/>
      <c r="CM139" s="98"/>
      <c r="CN139" s="98"/>
      <c r="CO139" s="98"/>
      <c r="CP139" s="98"/>
      <c r="CQ139" s="98"/>
      <c r="CR139" s="98"/>
      <c r="CS139" s="98"/>
      <c r="CT139" s="98"/>
      <c r="CU139" s="98"/>
      <c r="CV139" s="98"/>
      <c r="CW139" s="98"/>
      <c r="CX139" s="98"/>
      <c r="CY139" s="98"/>
      <c r="CZ139" s="98"/>
      <c r="DA139" s="98"/>
      <c r="DB139" s="98"/>
      <c r="DC139" s="98"/>
      <c r="DD139" s="98"/>
      <c r="DE139" s="98"/>
      <c r="DF139" s="98"/>
      <c r="DG139" s="98"/>
      <c r="DH139" s="98"/>
      <c r="DI139" s="98"/>
      <c r="DJ139" s="98"/>
      <c r="DK139" s="98"/>
      <c r="DL139" s="98"/>
      <c r="DM139" s="98"/>
      <c r="DN139" s="98"/>
      <c r="DO139" s="98"/>
      <c r="DP139" s="98"/>
      <c r="DQ139" s="98"/>
      <c r="DR139" s="98"/>
      <c r="DS139" s="98"/>
      <c r="DT139" s="98"/>
      <c r="DU139" s="98"/>
      <c r="DV139" s="98"/>
      <c r="DW139" s="98"/>
      <c r="DX139" s="98"/>
      <c r="DY139" s="98"/>
      <c r="DZ139" s="98"/>
      <c r="EA139" s="98"/>
      <c r="EB139" s="98"/>
    </row>
    <row r="140" spans="1:132" x14ac:dyDescent="0.2">
      <c r="A140" s="96"/>
      <c r="B140" s="94"/>
      <c r="C140" s="95"/>
      <c r="D140" s="97"/>
      <c r="E140" s="94"/>
      <c r="F140" s="94"/>
      <c r="G140" s="95"/>
      <c r="H140" s="95"/>
      <c r="I140" s="95"/>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c r="BD140" s="98"/>
      <c r="BE140" s="98"/>
      <c r="BF140" s="98"/>
      <c r="BG140" s="98"/>
      <c r="BH140" s="98"/>
      <c r="BI140" s="98"/>
      <c r="BJ140" s="98"/>
      <c r="BK140" s="98"/>
      <c r="BL140" s="98"/>
      <c r="BM140" s="98"/>
      <c r="BN140" s="98"/>
      <c r="BO140" s="98"/>
      <c r="BP140" s="98"/>
      <c r="BQ140" s="98"/>
      <c r="BR140" s="98"/>
      <c r="BS140" s="98"/>
      <c r="BT140" s="98"/>
      <c r="BU140" s="98"/>
      <c r="BV140" s="98"/>
      <c r="BW140" s="98"/>
      <c r="BX140" s="98"/>
      <c r="BY140" s="98"/>
      <c r="BZ140" s="98"/>
      <c r="CA140" s="98"/>
      <c r="CB140" s="98"/>
      <c r="CC140" s="98"/>
      <c r="CD140" s="98"/>
      <c r="CE140" s="98"/>
      <c r="CF140" s="98"/>
      <c r="CG140" s="98"/>
      <c r="CH140" s="98"/>
      <c r="CI140" s="98"/>
      <c r="CJ140" s="98"/>
      <c r="CK140" s="98"/>
      <c r="CL140" s="98"/>
      <c r="CM140" s="98"/>
      <c r="CN140" s="98"/>
      <c r="CO140" s="98"/>
      <c r="CP140" s="98"/>
      <c r="CQ140" s="98"/>
      <c r="CR140" s="98"/>
      <c r="CS140" s="98"/>
      <c r="CT140" s="98"/>
      <c r="CU140" s="98"/>
      <c r="CV140" s="98"/>
      <c r="CW140" s="98"/>
      <c r="CX140" s="98"/>
      <c r="CY140" s="98"/>
      <c r="CZ140" s="98"/>
      <c r="DA140" s="98"/>
      <c r="DB140" s="98"/>
      <c r="DC140" s="98"/>
      <c r="DD140" s="98"/>
      <c r="DE140" s="98"/>
      <c r="DF140" s="98"/>
      <c r="DG140" s="98"/>
      <c r="DH140" s="98"/>
      <c r="DI140" s="98"/>
      <c r="DJ140" s="98"/>
      <c r="DK140" s="98"/>
      <c r="DL140" s="98"/>
      <c r="DM140" s="98"/>
      <c r="DN140" s="98"/>
      <c r="DO140" s="98"/>
      <c r="DP140" s="98"/>
      <c r="DQ140" s="98"/>
      <c r="DR140" s="98"/>
      <c r="DS140" s="98"/>
      <c r="DT140" s="98"/>
      <c r="DU140" s="98"/>
      <c r="DV140" s="98"/>
      <c r="DW140" s="98"/>
      <c r="DX140" s="98"/>
      <c r="DY140" s="98"/>
      <c r="DZ140" s="98"/>
      <c r="EA140" s="98"/>
      <c r="EB140" s="98"/>
    </row>
    <row r="141" spans="1:132" x14ac:dyDescent="0.2">
      <c r="A141" s="96"/>
      <c r="B141" s="94"/>
      <c r="C141" s="95"/>
      <c r="D141" s="97"/>
      <c r="E141" s="94"/>
      <c r="F141" s="94"/>
      <c r="G141" s="95"/>
      <c r="H141" s="95"/>
      <c r="I141" s="95"/>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c r="BD141" s="98"/>
      <c r="BE141" s="98"/>
      <c r="BF141" s="98"/>
      <c r="BG141" s="98"/>
      <c r="BH141" s="98"/>
      <c r="BI141" s="98"/>
      <c r="BJ141" s="98"/>
      <c r="BK141" s="98"/>
      <c r="BL141" s="98"/>
      <c r="BM141" s="98"/>
      <c r="BN141" s="98"/>
      <c r="BO141" s="98"/>
      <c r="BP141" s="98"/>
      <c r="BQ141" s="98"/>
      <c r="BR141" s="98"/>
      <c r="BS141" s="98"/>
      <c r="BT141" s="98"/>
      <c r="BU141" s="98"/>
      <c r="BV141" s="98"/>
      <c r="BW141" s="98"/>
      <c r="BX141" s="98"/>
      <c r="BY141" s="98"/>
      <c r="BZ141" s="98"/>
      <c r="CA141" s="98"/>
      <c r="CB141" s="98"/>
      <c r="CC141" s="98"/>
      <c r="CD141" s="98"/>
      <c r="CE141" s="98"/>
      <c r="CF141" s="98"/>
      <c r="CG141" s="98"/>
      <c r="CH141" s="98"/>
      <c r="CI141" s="98"/>
      <c r="CJ141" s="98"/>
      <c r="CK141" s="98"/>
      <c r="CL141" s="98"/>
      <c r="CM141" s="98"/>
      <c r="CN141" s="98"/>
      <c r="CO141" s="98"/>
      <c r="CP141" s="98"/>
      <c r="CQ141" s="98"/>
      <c r="CR141" s="98"/>
      <c r="CS141" s="98"/>
      <c r="CT141" s="98"/>
      <c r="CU141" s="98"/>
      <c r="CV141" s="98"/>
      <c r="CW141" s="98"/>
      <c r="CX141" s="98"/>
      <c r="CY141" s="98"/>
      <c r="CZ141" s="98"/>
      <c r="DA141" s="98"/>
      <c r="DB141" s="98"/>
      <c r="DC141" s="98"/>
      <c r="DD141" s="98"/>
      <c r="DE141" s="98"/>
      <c r="DF141" s="98"/>
      <c r="DG141" s="98"/>
      <c r="DH141" s="98"/>
      <c r="DI141" s="98"/>
      <c r="DJ141" s="98"/>
      <c r="DK141" s="98"/>
      <c r="DL141" s="98"/>
      <c r="DM141" s="98"/>
      <c r="DN141" s="98"/>
      <c r="DO141" s="98"/>
      <c r="DP141" s="98"/>
      <c r="DQ141" s="98"/>
      <c r="DR141" s="98"/>
      <c r="DS141" s="98"/>
      <c r="DT141" s="98"/>
      <c r="DU141" s="98"/>
      <c r="DV141" s="98"/>
      <c r="DW141" s="98"/>
      <c r="DX141" s="98"/>
      <c r="DY141" s="98"/>
      <c r="DZ141" s="98"/>
      <c r="EA141" s="98"/>
      <c r="EB141" s="98"/>
    </row>
    <row r="142" spans="1:132" x14ac:dyDescent="0.2">
      <c r="A142" s="96"/>
      <c r="B142" s="94"/>
      <c r="C142" s="95"/>
      <c r="D142" s="97"/>
      <c r="E142" s="94"/>
      <c r="F142" s="94"/>
      <c r="G142" s="95"/>
      <c r="H142" s="95"/>
      <c r="I142" s="95"/>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c r="BD142" s="98"/>
      <c r="BE142" s="98"/>
      <c r="BF142" s="98"/>
      <c r="BG142" s="98"/>
      <c r="BH142" s="98"/>
      <c r="BI142" s="98"/>
      <c r="BJ142" s="98"/>
      <c r="BK142" s="98"/>
      <c r="BL142" s="98"/>
      <c r="BM142" s="98"/>
      <c r="BN142" s="98"/>
      <c r="BO142" s="98"/>
      <c r="BP142" s="98"/>
      <c r="BQ142" s="98"/>
      <c r="BR142" s="98"/>
      <c r="BS142" s="98"/>
      <c r="BT142" s="98"/>
      <c r="BU142" s="98"/>
      <c r="BV142" s="98"/>
      <c r="BW142" s="98"/>
      <c r="BX142" s="98"/>
      <c r="BY142" s="98"/>
      <c r="BZ142" s="98"/>
      <c r="CA142" s="98"/>
      <c r="CB142" s="98"/>
      <c r="CC142" s="98"/>
      <c r="CD142" s="98"/>
      <c r="CE142" s="98"/>
      <c r="CF142" s="98"/>
      <c r="CG142" s="98"/>
      <c r="CH142" s="98"/>
      <c r="CI142" s="98"/>
      <c r="CJ142" s="98"/>
      <c r="CK142" s="98"/>
      <c r="CL142" s="98"/>
      <c r="CM142" s="98"/>
      <c r="CN142" s="98"/>
      <c r="CO142" s="98"/>
      <c r="CP142" s="98"/>
      <c r="CQ142" s="98"/>
      <c r="CR142" s="98"/>
      <c r="CS142" s="98"/>
      <c r="CT142" s="98"/>
      <c r="CU142" s="98"/>
      <c r="CV142" s="98"/>
      <c r="CW142" s="98"/>
      <c r="CX142" s="98"/>
      <c r="CY142" s="98"/>
      <c r="CZ142" s="98"/>
      <c r="DA142" s="98"/>
      <c r="DB142" s="98"/>
      <c r="DC142" s="98"/>
      <c r="DD142" s="98"/>
      <c r="DE142" s="98"/>
      <c r="DF142" s="98"/>
      <c r="DG142" s="98"/>
      <c r="DH142" s="98"/>
      <c r="DI142" s="98"/>
      <c r="DJ142" s="98"/>
      <c r="DK142" s="98"/>
      <c r="DL142" s="98"/>
      <c r="DM142" s="98"/>
      <c r="DN142" s="98"/>
      <c r="DO142" s="98"/>
      <c r="DP142" s="98"/>
      <c r="DQ142" s="98"/>
      <c r="DR142" s="98"/>
      <c r="DS142" s="98"/>
      <c r="DT142" s="98"/>
      <c r="DU142" s="98"/>
      <c r="DV142" s="98"/>
      <c r="DW142" s="98"/>
      <c r="DX142" s="98"/>
      <c r="DY142" s="98"/>
      <c r="DZ142" s="98"/>
      <c r="EA142" s="98"/>
      <c r="EB142" s="98"/>
    </row>
    <row r="143" spans="1:132" x14ac:dyDescent="0.2">
      <c r="A143" s="96"/>
      <c r="B143" s="94"/>
      <c r="C143" s="95"/>
      <c r="D143" s="97"/>
      <c r="E143" s="94"/>
      <c r="F143" s="94"/>
      <c r="G143" s="95"/>
      <c r="H143" s="95"/>
      <c r="I143" s="95"/>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c r="BD143" s="98"/>
      <c r="BE143" s="98"/>
      <c r="BF143" s="98"/>
      <c r="BG143" s="98"/>
      <c r="BH143" s="98"/>
      <c r="BI143" s="98"/>
      <c r="BJ143" s="98"/>
      <c r="BK143" s="98"/>
      <c r="BL143" s="98"/>
      <c r="BM143" s="98"/>
      <c r="BN143" s="98"/>
      <c r="BO143" s="98"/>
      <c r="BP143" s="98"/>
      <c r="BQ143" s="98"/>
      <c r="BR143" s="98"/>
      <c r="BS143" s="98"/>
      <c r="BT143" s="98"/>
      <c r="BU143" s="98"/>
      <c r="BV143" s="98"/>
      <c r="BW143" s="98"/>
      <c r="BX143" s="98"/>
      <c r="BY143" s="98"/>
      <c r="BZ143" s="98"/>
      <c r="CA143" s="98"/>
      <c r="CB143" s="98"/>
      <c r="CC143" s="98"/>
      <c r="CD143" s="98"/>
      <c r="CE143" s="98"/>
      <c r="CF143" s="98"/>
      <c r="CG143" s="98"/>
      <c r="CH143" s="98"/>
      <c r="CI143" s="98"/>
      <c r="CJ143" s="98"/>
      <c r="CK143" s="98"/>
      <c r="CL143" s="98"/>
      <c r="CM143" s="98"/>
      <c r="CN143" s="98"/>
      <c r="CO143" s="98"/>
      <c r="CP143" s="98"/>
      <c r="CQ143" s="98"/>
      <c r="CR143" s="98"/>
      <c r="CS143" s="98"/>
      <c r="CT143" s="98"/>
      <c r="CU143" s="98"/>
      <c r="CV143" s="98"/>
      <c r="CW143" s="98"/>
      <c r="CX143" s="98"/>
      <c r="CY143" s="98"/>
      <c r="CZ143" s="98"/>
      <c r="DA143" s="98"/>
      <c r="DB143" s="98"/>
      <c r="DC143" s="98"/>
      <c r="DD143" s="98"/>
      <c r="DE143" s="98"/>
      <c r="DF143" s="98"/>
      <c r="DG143" s="98"/>
      <c r="DH143" s="98"/>
      <c r="DI143" s="98"/>
      <c r="DJ143" s="98"/>
      <c r="DK143" s="98"/>
      <c r="DL143" s="98"/>
      <c r="DM143" s="98"/>
      <c r="DN143" s="98"/>
      <c r="DO143" s="98"/>
      <c r="DP143" s="98"/>
      <c r="DQ143" s="98"/>
      <c r="DR143" s="98"/>
      <c r="DS143" s="98"/>
      <c r="DT143" s="98"/>
      <c r="DU143" s="98"/>
      <c r="DV143" s="98"/>
      <c r="DW143" s="98"/>
      <c r="DX143" s="98"/>
      <c r="DY143" s="98"/>
      <c r="DZ143" s="98"/>
      <c r="EA143" s="98"/>
      <c r="EB143" s="98"/>
    </row>
    <row r="144" spans="1:132" x14ac:dyDescent="0.2">
      <c r="A144" s="96"/>
      <c r="B144" s="94"/>
      <c r="C144" s="95"/>
      <c r="D144" s="97"/>
      <c r="E144" s="94"/>
      <c r="F144" s="94"/>
      <c r="G144" s="95"/>
      <c r="H144" s="95"/>
      <c r="I144" s="95"/>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c r="BD144" s="98"/>
      <c r="BE144" s="98"/>
      <c r="BF144" s="98"/>
      <c r="BG144" s="98"/>
      <c r="BH144" s="98"/>
      <c r="BI144" s="98"/>
      <c r="BJ144" s="98"/>
      <c r="BK144" s="98"/>
      <c r="BL144" s="98"/>
      <c r="BM144" s="98"/>
      <c r="BN144" s="98"/>
      <c r="BO144" s="98"/>
      <c r="BP144" s="98"/>
      <c r="BQ144" s="98"/>
      <c r="BR144" s="98"/>
      <c r="BS144" s="98"/>
      <c r="BT144" s="98"/>
      <c r="BU144" s="98"/>
      <c r="BV144" s="98"/>
      <c r="BW144" s="98"/>
      <c r="BX144" s="98"/>
      <c r="BY144" s="98"/>
      <c r="BZ144" s="98"/>
      <c r="CA144" s="98"/>
      <c r="CB144" s="98"/>
      <c r="CC144" s="98"/>
      <c r="CD144" s="98"/>
      <c r="CE144" s="98"/>
      <c r="CF144" s="98"/>
      <c r="CG144" s="98"/>
      <c r="CH144" s="98"/>
      <c r="CI144" s="98"/>
      <c r="CJ144" s="98"/>
      <c r="CK144" s="98"/>
      <c r="CL144" s="98"/>
      <c r="CM144" s="98"/>
      <c r="CN144" s="98"/>
      <c r="CO144" s="98"/>
      <c r="CP144" s="98"/>
      <c r="CQ144" s="98"/>
      <c r="CR144" s="98"/>
      <c r="CS144" s="98"/>
      <c r="CT144" s="98"/>
      <c r="CU144" s="98"/>
      <c r="CV144" s="98"/>
      <c r="CW144" s="98"/>
      <c r="CX144" s="98"/>
      <c r="CY144" s="98"/>
      <c r="CZ144" s="98"/>
      <c r="DA144" s="98"/>
      <c r="DB144" s="98"/>
      <c r="DC144" s="98"/>
      <c r="DD144" s="98"/>
      <c r="DE144" s="98"/>
      <c r="DF144" s="98"/>
      <c r="DG144" s="98"/>
      <c r="DH144" s="98"/>
      <c r="DI144" s="98"/>
      <c r="DJ144" s="98"/>
      <c r="DK144" s="98"/>
      <c r="DL144" s="98"/>
      <c r="DM144" s="98"/>
      <c r="DN144" s="98"/>
      <c r="DO144" s="98"/>
      <c r="DP144" s="98"/>
      <c r="DQ144" s="98"/>
      <c r="DR144" s="98"/>
      <c r="DS144" s="98"/>
      <c r="DT144" s="98"/>
      <c r="DU144" s="98"/>
      <c r="DV144" s="98"/>
      <c r="DW144" s="98"/>
      <c r="DX144" s="98"/>
      <c r="DY144" s="98"/>
      <c r="DZ144" s="98"/>
      <c r="EA144" s="98"/>
      <c r="EB144" s="98"/>
    </row>
    <row r="145" spans="1:132" x14ac:dyDescent="0.2">
      <c r="A145" s="96"/>
      <c r="B145" s="94"/>
      <c r="C145" s="95"/>
      <c r="D145" s="97"/>
      <c r="E145" s="94"/>
      <c r="F145" s="94"/>
      <c r="G145" s="95"/>
      <c r="H145" s="95"/>
      <c r="I145" s="95"/>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98"/>
      <c r="BB145" s="98"/>
      <c r="BC145" s="98"/>
      <c r="BD145" s="98"/>
      <c r="BE145" s="98"/>
      <c r="BF145" s="98"/>
      <c r="BG145" s="98"/>
      <c r="BH145" s="98"/>
      <c r="BI145" s="98"/>
      <c r="BJ145" s="98"/>
      <c r="BK145" s="98"/>
      <c r="BL145" s="98"/>
      <c r="BM145" s="98"/>
      <c r="BN145" s="98"/>
      <c r="BO145" s="98"/>
      <c r="BP145" s="98"/>
      <c r="BQ145" s="98"/>
      <c r="BR145" s="98"/>
      <c r="BS145" s="98"/>
      <c r="BT145" s="98"/>
      <c r="BU145" s="98"/>
      <c r="BV145" s="98"/>
      <c r="BW145" s="98"/>
      <c r="BX145" s="98"/>
      <c r="BY145" s="98"/>
      <c r="BZ145" s="98"/>
      <c r="CA145" s="98"/>
      <c r="CB145" s="98"/>
      <c r="CC145" s="98"/>
      <c r="CD145" s="98"/>
      <c r="CE145" s="98"/>
      <c r="CF145" s="98"/>
      <c r="CG145" s="98"/>
      <c r="CH145" s="98"/>
      <c r="CI145" s="98"/>
      <c r="CJ145" s="98"/>
      <c r="CK145" s="98"/>
      <c r="CL145" s="98"/>
      <c r="CM145" s="98"/>
      <c r="CN145" s="98"/>
      <c r="CO145" s="98"/>
      <c r="CP145" s="98"/>
      <c r="CQ145" s="98"/>
      <c r="CR145" s="98"/>
      <c r="CS145" s="98"/>
      <c r="CT145" s="98"/>
      <c r="CU145" s="98"/>
      <c r="CV145" s="98"/>
      <c r="CW145" s="98"/>
      <c r="CX145" s="98"/>
      <c r="CY145" s="98"/>
      <c r="CZ145" s="98"/>
      <c r="DA145" s="98"/>
      <c r="DB145" s="98"/>
      <c r="DC145" s="98"/>
      <c r="DD145" s="98"/>
      <c r="DE145" s="98"/>
      <c r="DF145" s="98"/>
      <c r="DG145" s="98"/>
      <c r="DH145" s="98"/>
      <c r="DI145" s="98"/>
      <c r="DJ145" s="98"/>
      <c r="DK145" s="98"/>
      <c r="DL145" s="98"/>
      <c r="DM145" s="98"/>
      <c r="DN145" s="98"/>
      <c r="DO145" s="98"/>
      <c r="DP145" s="98"/>
      <c r="DQ145" s="98"/>
      <c r="DR145" s="98"/>
      <c r="DS145" s="98"/>
      <c r="DT145" s="98"/>
      <c r="DU145" s="98"/>
      <c r="DV145" s="98"/>
      <c r="DW145" s="98"/>
      <c r="DX145" s="98"/>
      <c r="DY145" s="98"/>
      <c r="DZ145" s="98"/>
      <c r="EA145" s="98"/>
      <c r="EB145" s="98"/>
    </row>
    <row r="146" spans="1:132" x14ac:dyDescent="0.2">
      <c r="A146" s="96"/>
      <c r="B146" s="94"/>
      <c r="C146" s="95"/>
      <c r="D146" s="97"/>
      <c r="E146" s="94"/>
      <c r="F146" s="94"/>
      <c r="G146" s="95"/>
      <c r="H146" s="95"/>
      <c r="I146" s="95"/>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98"/>
      <c r="BB146" s="98"/>
      <c r="BC146" s="98"/>
      <c r="BD146" s="98"/>
      <c r="BE146" s="98"/>
      <c r="BF146" s="98"/>
      <c r="BG146" s="98"/>
      <c r="BH146" s="98"/>
      <c r="BI146" s="98"/>
      <c r="BJ146" s="98"/>
      <c r="BK146" s="98"/>
      <c r="BL146" s="98"/>
      <c r="BM146" s="98"/>
      <c r="BN146" s="98"/>
      <c r="BO146" s="98"/>
      <c r="BP146" s="98"/>
      <c r="BQ146" s="98"/>
      <c r="BR146" s="98"/>
      <c r="BS146" s="98"/>
      <c r="BT146" s="98"/>
      <c r="BU146" s="98"/>
      <c r="BV146" s="98"/>
      <c r="BW146" s="98"/>
      <c r="BX146" s="98"/>
      <c r="BY146" s="98"/>
      <c r="BZ146" s="98"/>
      <c r="CA146" s="98"/>
      <c r="CB146" s="98"/>
      <c r="CC146" s="98"/>
      <c r="CD146" s="98"/>
      <c r="CE146" s="98"/>
      <c r="CF146" s="98"/>
      <c r="CG146" s="98"/>
      <c r="CH146" s="98"/>
      <c r="CI146" s="98"/>
      <c r="CJ146" s="98"/>
      <c r="CK146" s="98"/>
      <c r="CL146" s="98"/>
      <c r="CM146" s="98"/>
      <c r="CN146" s="98"/>
      <c r="CO146" s="98"/>
      <c r="CP146" s="98"/>
      <c r="CQ146" s="98"/>
      <c r="CR146" s="98"/>
      <c r="CS146" s="98"/>
      <c r="CT146" s="98"/>
      <c r="CU146" s="98"/>
      <c r="CV146" s="98"/>
      <c r="CW146" s="98"/>
      <c r="CX146" s="98"/>
      <c r="CY146" s="98"/>
      <c r="CZ146" s="98"/>
      <c r="DA146" s="98"/>
      <c r="DB146" s="98"/>
      <c r="DC146" s="98"/>
      <c r="DD146" s="98"/>
      <c r="DE146" s="98"/>
      <c r="DF146" s="98"/>
      <c r="DG146" s="98"/>
      <c r="DH146" s="98"/>
      <c r="DI146" s="98"/>
      <c r="DJ146" s="98"/>
      <c r="DK146" s="98"/>
      <c r="DL146" s="98"/>
      <c r="DM146" s="98"/>
      <c r="DN146" s="98"/>
      <c r="DO146" s="98"/>
      <c r="DP146" s="98"/>
      <c r="DQ146" s="98"/>
      <c r="DR146" s="98"/>
      <c r="DS146" s="98"/>
      <c r="DT146" s="98"/>
      <c r="DU146" s="98"/>
      <c r="DV146" s="98"/>
      <c r="DW146" s="98"/>
      <c r="DX146" s="98"/>
      <c r="DY146" s="98"/>
      <c r="DZ146" s="98"/>
      <c r="EA146" s="98"/>
      <c r="EB146" s="98"/>
    </row>
    <row r="147" spans="1:132" x14ac:dyDescent="0.2">
      <c r="A147" s="96"/>
      <c r="B147" s="94"/>
      <c r="C147" s="95"/>
      <c r="D147" s="97"/>
      <c r="E147" s="94"/>
      <c r="F147" s="94"/>
      <c r="G147" s="95"/>
      <c r="H147" s="95"/>
      <c r="I147" s="95"/>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98"/>
      <c r="BB147" s="98"/>
      <c r="BC147" s="98"/>
      <c r="BD147" s="98"/>
      <c r="BE147" s="98"/>
      <c r="BF147" s="98"/>
      <c r="BG147" s="98"/>
      <c r="BH147" s="98"/>
      <c r="BI147" s="98"/>
      <c r="BJ147" s="98"/>
      <c r="BK147" s="98"/>
      <c r="BL147" s="98"/>
      <c r="BM147" s="98"/>
      <c r="BN147" s="98"/>
      <c r="BO147" s="98"/>
      <c r="BP147" s="98"/>
      <c r="BQ147" s="98"/>
      <c r="BR147" s="98"/>
      <c r="BS147" s="98"/>
      <c r="BT147" s="98"/>
      <c r="BU147" s="98"/>
      <c r="BV147" s="98"/>
      <c r="BW147" s="98"/>
      <c r="BX147" s="98"/>
      <c r="BY147" s="98"/>
      <c r="BZ147" s="98"/>
      <c r="CA147" s="98"/>
      <c r="CB147" s="98"/>
      <c r="CC147" s="98"/>
      <c r="CD147" s="98"/>
      <c r="CE147" s="98"/>
      <c r="CF147" s="98"/>
      <c r="CG147" s="98"/>
      <c r="CH147" s="98"/>
      <c r="CI147" s="98"/>
      <c r="CJ147" s="98"/>
      <c r="CK147" s="98"/>
      <c r="CL147" s="98"/>
      <c r="CM147" s="98"/>
      <c r="CN147" s="98"/>
      <c r="CO147" s="98"/>
      <c r="CP147" s="98"/>
      <c r="CQ147" s="98"/>
      <c r="CR147" s="98"/>
      <c r="CS147" s="98"/>
      <c r="CT147" s="98"/>
      <c r="CU147" s="98"/>
      <c r="CV147" s="98"/>
      <c r="CW147" s="98"/>
      <c r="CX147" s="98"/>
      <c r="CY147" s="98"/>
      <c r="CZ147" s="98"/>
      <c r="DA147" s="98"/>
      <c r="DB147" s="98"/>
      <c r="DC147" s="98"/>
      <c r="DD147" s="98"/>
      <c r="DE147" s="98"/>
      <c r="DF147" s="98"/>
      <c r="DG147" s="98"/>
      <c r="DH147" s="98"/>
      <c r="DI147" s="98"/>
      <c r="DJ147" s="98"/>
      <c r="DK147" s="98"/>
      <c r="DL147" s="98"/>
      <c r="DM147" s="98"/>
      <c r="DN147" s="98"/>
      <c r="DO147" s="98"/>
      <c r="DP147" s="98"/>
      <c r="DQ147" s="98"/>
      <c r="DR147" s="98"/>
      <c r="DS147" s="98"/>
      <c r="DT147" s="98"/>
      <c r="DU147" s="98"/>
      <c r="DV147" s="98"/>
      <c r="DW147" s="98"/>
      <c r="DX147" s="98"/>
      <c r="DY147" s="98"/>
      <c r="DZ147" s="98"/>
      <c r="EA147" s="98"/>
      <c r="EB147" s="98"/>
    </row>
    <row r="148" spans="1:132" x14ac:dyDescent="0.2">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row>
    <row r="149" spans="1:132" x14ac:dyDescent="0.2">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row>
    <row r="150" spans="1:132" x14ac:dyDescent="0.2">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row>
    <row r="151" spans="1:132" x14ac:dyDescent="0.2">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row>
    <row r="152" spans="1:132" x14ac:dyDescent="0.2">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row>
    <row r="153" spans="1:132" x14ac:dyDescent="0.2">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row>
    <row r="154" spans="1:132" x14ac:dyDescent="0.2">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row>
    <row r="155" spans="1:132" x14ac:dyDescent="0.2">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row>
    <row r="156" spans="1:132" x14ac:dyDescent="0.2">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row>
    <row r="157" spans="1:132" x14ac:dyDescent="0.2">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row>
    <row r="158" spans="1:132" x14ac:dyDescent="0.2">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row>
    <row r="159" spans="1:132" x14ac:dyDescent="0.2">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row>
    <row r="160" spans="1:132" x14ac:dyDescent="0.2">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row>
    <row r="161" spans="1:37" x14ac:dyDescent="0.2">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row>
    <row r="162" spans="1:37" x14ac:dyDescent="0.2">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row>
    <row r="163" spans="1:37" x14ac:dyDescent="0.2">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row>
    <row r="164" spans="1:37" x14ac:dyDescent="0.2">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row>
    <row r="165" spans="1:37" x14ac:dyDescent="0.2">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row>
    <row r="166" spans="1:37" x14ac:dyDescent="0.2">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row>
    <row r="167" spans="1:37" x14ac:dyDescent="0.2">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row>
    <row r="168" spans="1:37" x14ac:dyDescent="0.2">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row>
    <row r="169" spans="1:37" x14ac:dyDescent="0.2">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row>
    <row r="170" spans="1:37" x14ac:dyDescent="0.2">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row>
    <row r="171" spans="1:37" x14ac:dyDescent="0.2">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row>
    <row r="172" spans="1:37" x14ac:dyDescent="0.2">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row>
    <row r="173" spans="1:37" x14ac:dyDescent="0.2">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row>
    <row r="174" spans="1:37" x14ac:dyDescent="0.2">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row>
    <row r="175" spans="1:37" x14ac:dyDescent="0.2">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row>
    <row r="176" spans="1:37" x14ac:dyDescent="0.2">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row>
    <row r="177" spans="1:37" x14ac:dyDescent="0.2">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row>
    <row r="178" spans="1:37" x14ac:dyDescent="0.2">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row>
    <row r="179" spans="1:37" x14ac:dyDescent="0.2">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row>
    <row r="180" spans="1:37" x14ac:dyDescent="0.2">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row>
    <row r="181" spans="1:37" x14ac:dyDescent="0.2">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row>
    <row r="182" spans="1:37" x14ac:dyDescent="0.2">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row>
    <row r="183" spans="1:37" x14ac:dyDescent="0.2">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row>
    <row r="184" spans="1:37" x14ac:dyDescent="0.2">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row>
    <row r="185" spans="1:37" x14ac:dyDescent="0.2">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row>
    <row r="186" spans="1:37" x14ac:dyDescent="0.2">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row>
    <row r="187" spans="1:37" x14ac:dyDescent="0.2">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row>
    <row r="188" spans="1:37" x14ac:dyDescent="0.2">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row>
    <row r="189" spans="1:37" x14ac:dyDescent="0.2">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row>
    <row r="190" spans="1:37" x14ac:dyDescent="0.2">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row>
    <row r="191" spans="1:37" x14ac:dyDescent="0.2">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row>
    <row r="192" spans="1:37" x14ac:dyDescent="0.2">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row>
    <row r="193" spans="1:37" x14ac:dyDescent="0.2">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row>
    <row r="194" spans="1:37" x14ac:dyDescent="0.2">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row>
    <row r="195" spans="1:37" x14ac:dyDescent="0.2">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row>
    <row r="196" spans="1:37" x14ac:dyDescent="0.2">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row>
    <row r="197" spans="1:37" x14ac:dyDescent="0.2">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row>
    <row r="198" spans="1:37" x14ac:dyDescent="0.2">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row>
    <row r="199" spans="1:37" x14ac:dyDescent="0.2">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row>
    <row r="200" spans="1:37" x14ac:dyDescent="0.2">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row>
    <row r="201" spans="1:37" x14ac:dyDescent="0.2">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row>
    <row r="202" spans="1:37" x14ac:dyDescent="0.2">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row>
    <row r="203" spans="1:37" x14ac:dyDescent="0.2">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row>
    <row r="204" spans="1:37" x14ac:dyDescent="0.2">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row>
    <row r="205" spans="1:37" x14ac:dyDescent="0.2">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row>
    <row r="206" spans="1:37" x14ac:dyDescent="0.2">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row>
    <row r="207" spans="1:37" x14ac:dyDescent="0.2">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row>
    <row r="208" spans="1:37" x14ac:dyDescent="0.2">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row>
    <row r="209" spans="1:37" x14ac:dyDescent="0.2">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row>
    <row r="210" spans="1:37" x14ac:dyDescent="0.2">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row>
    <row r="211" spans="1:37" x14ac:dyDescent="0.2">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row>
    <row r="212" spans="1:37" x14ac:dyDescent="0.2">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row>
  </sheetData>
  <sheetProtection algorithmName="SHA-512" hashValue="xOG2kNUm7J9cHqyDWzb9fgdtZnGvl1y5PUtvbJBaec/GFvpdHk7OWo6HuXrzZH0OWCYB54bhvKDuZuY41vkt1Q==" saltValue="ONqg8gPMavZ9DO7VbCsp3g==" spinCount="100000" sheet="1" objects="1" scenarios="1"/>
  <protectedRanges>
    <protectedRange password="CFE7" sqref="A9" name="Range1"/>
    <protectedRange password="CFE7" sqref="J26:EB26" name="Range1_2"/>
  </protectedRanges>
  <dataConsolidate/>
  <mergeCells count="35">
    <mergeCell ref="F1:G2"/>
    <mergeCell ref="F3:G3"/>
    <mergeCell ref="O10:P10"/>
    <mergeCell ref="Q11:V11"/>
    <mergeCell ref="A5:C5"/>
    <mergeCell ref="B10:E10"/>
    <mergeCell ref="A8:B8"/>
    <mergeCell ref="Q10:AF10"/>
    <mergeCell ref="N9:P9"/>
    <mergeCell ref="A6:B6"/>
    <mergeCell ref="C6:D6"/>
    <mergeCell ref="Z11:AF11"/>
    <mergeCell ref="W11:Y11"/>
    <mergeCell ref="B11:C11"/>
    <mergeCell ref="O11:P11"/>
    <mergeCell ref="A16:B16"/>
    <mergeCell ref="A20:A23"/>
    <mergeCell ref="A17:B17"/>
    <mergeCell ref="C17:D17"/>
    <mergeCell ref="C16:D16"/>
    <mergeCell ref="Q16:R16"/>
    <mergeCell ref="S16:T16"/>
    <mergeCell ref="Q17:R17"/>
    <mergeCell ref="H25:H27"/>
    <mergeCell ref="C25:C27"/>
    <mergeCell ref="S17:W17"/>
    <mergeCell ref="D25:D27"/>
    <mergeCell ref="E25:E27"/>
    <mergeCell ref="I25:I27"/>
    <mergeCell ref="J25:EB25"/>
    <mergeCell ref="A25:A27"/>
    <mergeCell ref="F25:F27"/>
    <mergeCell ref="G25:G27"/>
    <mergeCell ref="B20:AF23"/>
    <mergeCell ref="B25:B27"/>
  </mergeCells>
  <phoneticPr fontId="4" type="noConversion"/>
  <dataValidations count="19">
    <dataValidation type="list" showInputMessage="1" showErrorMessage="1" error="Please state if East or West Indian Ocean/ S'il vous plait mettez &quot;Ouest&quot; ou &quot;Est&quot; L'Océan Indien" sqref="C28:C147" xr:uid="{00000000-0002-0000-0200-000000000000}">
      <formula1>OFFSET(IF(C$6="ENGLISH_I_ANGLAIS",ENGLISH_I_ANGLAISARE,IF(C$6="CODE",CODEARE,FRANÇAIS_I_FRENCHARE)),,)</formula1>
    </dataValidation>
    <dataValidation type="list" allowBlank="1" showInputMessage="1" showErrorMessage="1" error="Please select a catch unit/ S'il vous plait choisir unité de Capture" sqref="S17:W17" xr:uid="{00000000-0002-0000-0200-000001000000}">
      <formula1>OFFSET(IF(lang3="ENGLISH_I_ANGLAIS",ENGLISH_I_ANGLAISCUN,IF(lang3="CODE",CODECUN,FRANÇAIS_I_FRENCHCUN)),,)</formula1>
    </dataValidation>
    <dataValidation type="date" allowBlank="1" showInputMessage="1" showErrorMessage="1" sqref="U16:W16" xr:uid="{00000000-0002-0000-0200-000002000000}">
      <formula1>1950</formula1>
      <formula2>YEAR(NOW())-1</formula2>
    </dataValidation>
    <dataValidation allowBlank="1" showErrorMessage="1" prompt="_x000a__x000a_" sqref="D25:D27" xr:uid="{00000000-0002-0000-0200-000003000000}"/>
    <dataValidation type="custom" allowBlank="1" showInputMessage="1" showErrorMessage="1" sqref="E25:E27" xr:uid="{00000000-0002-0000-0200-000004000000}">
      <formula1>SOURCES</formula1>
    </dataValidation>
    <dataValidation allowBlank="1" showErrorMessage="1" prompt="PLEASE INPUT EAST IO OR WEST IO" sqref="C25:C27" xr:uid="{00000000-0002-0000-0200-000005000000}"/>
    <dataValidation type="list" operator="equal" allowBlank="1" showInputMessage="1" showErrorMessage="1" error="Please enter &quot;FIN&quot; for Final data or &quot;PRE&quot; for Preliminary data/ S'il vous plait mettez &quot;FIN&quot; pour les données finale ou &quot;PRE&quot; pour les données preliminare" sqref="D28:D147" xr:uid="{00000000-0002-0000-0200-000006000000}">
      <formula1>TYPEDATA</formula1>
    </dataValidation>
    <dataValidation type="list" allowBlank="1" showInputMessage="1" showErrorMessage="1" sqref="C6" xr:uid="{00000000-0002-0000-0200-000007000000}">
      <formula1>LANG</formula1>
    </dataValidation>
    <dataValidation type="whole" allowBlank="1" showInputMessage="1" showErrorMessage="1" error="Quarter should be between 1 and 4 OR 0 if no quarterly data available / Trimestre devrait être entre 1 et 4 OU 0 s'il y'a pas information de trimestre" sqref="A28:A147" xr:uid="{00000000-0002-0000-0200-000008000000}">
      <formula1>0</formula1>
      <formula2>4</formula2>
    </dataValidation>
    <dataValidation type="list" showInputMessage="1" showErrorMessage="1" error="Please open &quot;FLG&quot; worksheet view Flag country/ S'il vous plait ouvrez le &quot;FLG&quot; feuille pour voir pavillon pays" sqref="C16:D17" xr:uid="{00000000-0002-0000-0200-000009000000}">
      <formula1>OFFSET(IF(lang3="ENGLISH_I_ANGLAIS",ENGLISH_I_ANGLAISFLG,IF(lang3="CODE",CODEFLG,FRANÇAIS_I_FRENCHFLG)),,)</formula1>
    </dataValidation>
    <dataValidation type="decimal" operator="greaterThan" allowBlank="1" showInputMessage="1" showErrorMessage="1" error="CATCH should be in number only / CAPTURE devrait être en numérique seulement" sqref="J28:EB147" xr:uid="{00000000-0002-0000-0200-00000A000000}">
      <formula1>0</formula1>
    </dataValidation>
    <dataValidation type="date" allowBlank="1" showInputMessage="1" showErrorMessage="1" error="Year should be between 1950 and before current year / Année devrait être entre 1950 et avant année actuelle" sqref="S16:T16" xr:uid="{00000000-0002-0000-0200-00000B000000}">
      <formula1>1950</formula1>
      <formula2>YEAR(NOW())-1</formula2>
    </dataValidation>
    <dataValidation type="list" showErrorMessage="1" error="Please open the &quot;FIS&quot; worksheet to view Fishery details. / S'il vous plait ouvrez le &quot;FIS&quot; feuille pour voir les détails de Pêcherie. " prompt="=sheet3!a2" sqref="B28:B147" xr:uid="{00000000-0002-0000-0200-00000D000000}">
      <formula1>OFFSET(IF(lang3="ENGLISH_I_ANGLAIS",ENGLISH_I_ANGLAISFIS,IF(lang3="CODE",CODEFIS,FRANÇAIS_I_FRENCHFIS)),,)</formula1>
    </dataValidation>
    <dataValidation type="list" showInputMessage="1" showErrorMessage="1" error="Please open the &quot;DSO&quot; worksheet to view the details for  &quot;Data Source&quot;/ S'il vous plait ouvrez le &quot;DSO&quot; feuille pour voir les détails pour &quot;Source des données&quot;" sqref="E28:E147" xr:uid="{00000000-0002-0000-0200-00000E000000}">
      <formula1>OFFSET(IF(lang3="ENGLISH_I_ANGLAIS",ENGLISH_I_ANGLAISDSO,IF(lang3="CODE",CODEDSO,FRANÇAIS_I_FRENCHDSO)),,)</formula1>
    </dataValidation>
    <dataValidation type="list" showInputMessage="1" showErrorMessage="1" error="Please open &quot;DPR&quot; worksheet to view  the details for &quot;Data Processing&quot; method/ S'il vous plait ouvrez le &quot;DPR&quot; feuille pour voir les détails pour le method de &quot;Traitement de l'information&quot;" sqref="F28:F147" xr:uid="{00000000-0002-0000-0200-00000F000000}">
      <formula1>OFFSET(IF(lang3="ENGLISH_I_ANGLAIS",ENGLISH_I_ANGLAISDPR,IF(lang3="CODE",CODEDPR,FRANÇAIS_I_FRENCHDPR)),,)</formula1>
    </dataValidation>
    <dataValidation type="list" showInputMessage="1" showErrorMessage="1" error="Please open the &quot;TSPC&quot; worksheet to view Target Species details / S'il vous plait ouvrez le &quot;TSPC&quot; feuille pour voir les détails d' Espèces Cible" sqref="G28:G147" xr:uid="{00000000-0002-0000-0200-000010000000}">
      <formula1>OFFSET(IF(lang3="ENGLISH_I_ANGLAIS",ENGLISH_I_ANGLAISTSPC,IF(lang3="CODE",CODETSPC,FRANÇAIS_I_FRENCHTSPC)),,)</formula1>
    </dataValidation>
    <dataValidation type="list" showInputMessage="1" showErrorMessage="1" error="Please open the &quot;COV&quot; worksheet to view details of coverage of catch/ S'il vous plait ouvrez le &quot;COV&quot; feuille pour voir les détails pour couverture des captures" sqref="H28:H147" xr:uid="{00000000-0002-0000-0200-000011000000}">
      <formula1>OFFSET(IF(lang3="ENGLISH_I_ANGLAIS",ENGLISH_I_ANGLAISCOV,IF(lang3="CODE",CodeCOV,FRANÇAIS_I_FRENCHCOV)),,)</formula1>
    </dataValidation>
    <dataValidation type="list" showInputMessage="1" showErrorMessage="1" error="Please open &quot;REA&quot; worksheet to view details of reason for retaining/ S'il vous plait ouvrez le &quot;REA&quot; feuille pour voir les détails de raison de retenu" sqref="I28:I147" xr:uid="{00000000-0002-0000-0200-000012000000}">
      <formula1>OFFSET(IF(lang3="ENGLISH_I_ANGLAIS",ENGLISH_I_ANGLAISREA,IF(lang3="CODE",CODEREA,FRANÇAIS_I_FRENCHREA)),,)</formula1>
    </dataValidation>
    <dataValidation type="list" showErrorMessage="1" error="Please open the &quot;SPC&quot; worksheet to view Species details/ S'il vous plait ouvrez le &quot;SPC&quot; feuille pour voir les détail d' Espèces" prompt="_x000a_" sqref="J26:EB26" xr:uid="{9990143D-A464-47B4-9DAA-966372D97E2C}">
      <formula1>OFFSET(IF(lang3="ENGLISH_I_ANGLAIS",ENGLISH_I_ANGLAISSPC,IF(lang3="CODE",CODESPC,FRANÇAIS_I_FRENCHSPC)),-1,)</formula1>
    </dataValidation>
  </dataValidations>
  <pageMargins left="0.75" right="0.75" top="1" bottom="1" header="0.5" footer="0.5"/>
  <pageSetup scale="1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 r:id="rId4" name="Check Box 409">
              <controlPr locked="0" defaultSize="0" autoFill="0" autoLine="0" autoPict="0">
                <anchor moveWithCells="1">
                  <from>
                    <xdr:col>0</xdr:col>
                    <xdr:colOff>47625</xdr:colOff>
                    <xdr:row>3</xdr:row>
                    <xdr:rowOff>161925</xdr:rowOff>
                  </from>
                  <to>
                    <xdr:col>1</xdr:col>
                    <xdr:colOff>1343025</xdr:colOff>
                    <xdr:row>4</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J11"/>
  <sheetViews>
    <sheetView topLeftCell="A2" workbookViewId="0">
      <selection activeCell="H2" sqref="H2:H10"/>
    </sheetView>
  </sheetViews>
  <sheetFormatPr defaultRowHeight="12.75" x14ac:dyDescent="0.2"/>
  <cols>
    <col min="8" max="8" width="30.7109375" customWidth="1"/>
  </cols>
  <sheetData>
    <row r="1" spans="1:10" x14ac:dyDescent="0.2">
      <c r="A1" t="s">
        <v>325</v>
      </c>
      <c r="J1" t="s">
        <v>351</v>
      </c>
    </row>
    <row r="2" spans="1:10" ht="15.75" x14ac:dyDescent="0.25">
      <c r="A2" t="s">
        <v>326</v>
      </c>
      <c r="C2" t="s">
        <v>354</v>
      </c>
      <c r="D2" t="s">
        <v>322</v>
      </c>
      <c r="E2" s="9" t="s">
        <v>335</v>
      </c>
      <c r="H2" t="s">
        <v>354</v>
      </c>
      <c r="J2" t="s">
        <v>352</v>
      </c>
    </row>
    <row r="3" spans="1:10" x14ac:dyDescent="0.2">
      <c r="A3" t="s">
        <v>318</v>
      </c>
      <c r="C3" t="s">
        <v>355</v>
      </c>
      <c r="D3" t="s">
        <v>320</v>
      </c>
      <c r="E3" t="s">
        <v>333</v>
      </c>
      <c r="H3" t="s">
        <v>355</v>
      </c>
      <c r="J3" t="s">
        <v>353</v>
      </c>
    </row>
    <row r="4" spans="1:10" x14ac:dyDescent="0.2">
      <c r="C4" t="s">
        <v>356</v>
      </c>
      <c r="D4" t="s">
        <v>321</v>
      </c>
      <c r="E4" t="s">
        <v>334</v>
      </c>
      <c r="H4" t="s">
        <v>356</v>
      </c>
    </row>
    <row r="5" spans="1:10" x14ac:dyDescent="0.2">
      <c r="C5" t="s">
        <v>357</v>
      </c>
      <c r="D5" t="s">
        <v>18</v>
      </c>
      <c r="E5" t="s">
        <v>336</v>
      </c>
      <c r="H5" t="s">
        <v>357</v>
      </c>
    </row>
    <row r="6" spans="1:10" x14ac:dyDescent="0.2">
      <c r="C6" t="s">
        <v>358</v>
      </c>
      <c r="D6" t="s">
        <v>319</v>
      </c>
      <c r="E6" t="s">
        <v>329</v>
      </c>
      <c r="H6" t="s">
        <v>358</v>
      </c>
    </row>
    <row r="7" spans="1:10" x14ac:dyDescent="0.2">
      <c r="C7" t="s">
        <v>359</v>
      </c>
      <c r="D7" t="s">
        <v>13</v>
      </c>
      <c r="E7" t="s">
        <v>331</v>
      </c>
      <c r="H7" t="s">
        <v>359</v>
      </c>
    </row>
    <row r="8" spans="1:10" x14ac:dyDescent="0.2">
      <c r="C8" t="s">
        <v>360</v>
      </c>
      <c r="D8" t="s">
        <v>323</v>
      </c>
      <c r="E8" t="s">
        <v>337</v>
      </c>
      <c r="H8" t="s">
        <v>144</v>
      </c>
    </row>
    <row r="9" spans="1:10" x14ac:dyDescent="0.2">
      <c r="C9" t="s">
        <v>144</v>
      </c>
      <c r="D9" t="s">
        <v>14</v>
      </c>
      <c r="E9" t="s">
        <v>332</v>
      </c>
      <c r="H9" t="s">
        <v>361</v>
      </c>
    </row>
    <row r="10" spans="1:10" x14ac:dyDescent="0.2">
      <c r="C10" t="s">
        <v>361</v>
      </c>
      <c r="D10" t="s">
        <v>350</v>
      </c>
      <c r="E10" t="s">
        <v>330</v>
      </c>
      <c r="H10" s="50" t="s">
        <v>1216</v>
      </c>
    </row>
    <row r="11" spans="1:10" ht="15" x14ac:dyDescent="0.25">
      <c r="C11" s="50" t="s">
        <v>1216</v>
      </c>
      <c r="D11" s="50" t="s">
        <v>1215</v>
      </c>
      <c r="E11" s="51" t="s">
        <v>1217</v>
      </c>
    </row>
  </sheetData>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F3"/>
  <sheetViews>
    <sheetView workbookViewId="0">
      <selection activeCell="E1" sqref="E1"/>
    </sheetView>
  </sheetViews>
  <sheetFormatPr defaultColWidth="9.140625" defaultRowHeight="12.75" x14ac:dyDescent="0.2"/>
  <cols>
    <col min="1" max="1" width="9" style="3" bestFit="1" customWidth="1"/>
    <col min="2" max="2" width="34.42578125" style="3" bestFit="1" customWidth="1"/>
    <col min="3" max="3" width="27.7109375" style="3" bestFit="1" customWidth="1"/>
    <col min="4" max="4" width="40.5703125" style="3" customWidth="1"/>
    <col min="5" max="16384" width="9.140625" style="3"/>
  </cols>
  <sheetData>
    <row r="1" spans="1:6" ht="18" x14ac:dyDescent="0.2">
      <c r="A1" t="s">
        <v>318</v>
      </c>
      <c r="B1" t="s">
        <v>753</v>
      </c>
      <c r="C1" t="s">
        <v>754</v>
      </c>
      <c r="E1" s="47">
        <v>1</v>
      </c>
      <c r="F1" s="17" t="s">
        <v>365</v>
      </c>
    </row>
    <row r="2" spans="1:6" x14ac:dyDescent="0.2">
      <c r="A2" t="s">
        <v>1121</v>
      </c>
      <c r="B2" t="s">
        <v>1122</v>
      </c>
      <c r="C2" t="s">
        <v>1123</v>
      </c>
    </row>
    <row r="3" spans="1:6" x14ac:dyDescent="0.2">
      <c r="A3" t="s">
        <v>1124</v>
      </c>
      <c r="B3" t="s">
        <v>1125</v>
      </c>
      <c r="C3" t="s">
        <v>1126</v>
      </c>
    </row>
  </sheetData>
  <sheetProtection algorithmName="SHA-512" hashValue="jZ14Qmx2mOV4sukZ0QV+6sCHAeQjVN2axiUfnYYVFU4Ba2dJYRkO7qtDo03NpMGgDZHBhJq3FzrzsC9LogV85w==" saltValue="JTu1q5FjaE9rTts7ljrQMA==" spinCount="100000" sheet="1" objects="1" scenarios="1"/>
  <sortState xmlns:xlrd2="http://schemas.microsoft.com/office/spreadsheetml/2017/richdata2" ref="A1:J2">
    <sortCondition ref="B1"/>
  </sortState>
  <phoneticPr fontId="4" type="noConversion"/>
  <dataValidations count="1">
    <dataValidation type="custom" allowBlank="1" showInputMessage="1" showErrorMessage="1" sqref="E1" xr:uid="{00000000-0002-0000-0400-000000000000}">
      <formula1>""</formula1>
    </dataValidation>
  </dataValidations>
  <hyperlinks>
    <hyperlink ref="E1" location="NC!A1" display="1" xr:uid="{00000000-0004-0000-0400-000000000000}"/>
  </hyperlink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9" r:id="rId3" name="Check Box 3">
              <controlPr defaultSize="0" autoFill="0" autoLine="0" autoPict="0">
                <anchor moveWithCells="1" sizeWithCells="1">
                  <from>
                    <xdr:col>9</xdr:col>
                    <xdr:colOff>38100</xdr:colOff>
                    <xdr:row>0</xdr:row>
                    <xdr:rowOff>0</xdr:rowOff>
                  </from>
                  <to>
                    <xdr:col>10</xdr:col>
                    <xdr:colOff>542925</xdr:colOff>
                    <xdr:row>0</xdr:row>
                    <xdr:rowOff>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F2"/>
  <sheetViews>
    <sheetView workbookViewId="0">
      <selection activeCell="E1" sqref="E1"/>
    </sheetView>
  </sheetViews>
  <sheetFormatPr defaultColWidth="9.140625" defaultRowHeight="12.75" x14ac:dyDescent="0.2"/>
  <cols>
    <col min="1" max="4" width="40.5703125" style="3" customWidth="1"/>
    <col min="5" max="16384" width="9.140625" style="3"/>
  </cols>
  <sheetData>
    <row r="1" spans="1:6" ht="18" x14ac:dyDescent="0.2">
      <c r="A1" t="s">
        <v>318</v>
      </c>
      <c r="B1" t="s">
        <v>753</v>
      </c>
      <c r="C1" t="s">
        <v>754</v>
      </c>
      <c r="E1" s="47">
        <v>1</v>
      </c>
      <c r="F1" s="17" t="s">
        <v>365</v>
      </c>
    </row>
    <row r="2" spans="1:6" x14ac:dyDescent="0.2">
      <c r="A2" s="119" t="s">
        <v>349</v>
      </c>
      <c r="B2" s="120" t="s">
        <v>751</v>
      </c>
      <c r="C2" s="121" t="s">
        <v>752</v>
      </c>
    </row>
  </sheetData>
  <sheetProtection algorithmName="SHA-512" hashValue="SPESWf1yJ3dBHgUHC00ppYxb9BZt7ttnhNBS2tNBFzqFFpW0Q9xeiDTJOOCGswNAVqCY4IdvP4+Sbpm93/7QRg==" saltValue="kbVYSPBf6NOOqE6Ptnv8rw==" spinCount="100000" sheet="1" objects="1" scenarios="1"/>
  <sortState xmlns:xlrd2="http://schemas.microsoft.com/office/spreadsheetml/2017/richdata2" ref="A1:J1">
    <sortCondition ref="B1"/>
  </sortState>
  <phoneticPr fontId="4" type="noConversion"/>
  <dataValidations count="1">
    <dataValidation type="custom" allowBlank="1" showInputMessage="1" showErrorMessage="1" sqref="E1" xr:uid="{00000000-0002-0000-0500-000000000000}">
      <formula1>""</formula1>
    </dataValidation>
  </dataValidations>
  <hyperlinks>
    <hyperlink ref="E1" location="NC!A1" display="1" xr:uid="{00000000-0004-0000-0500-000000000000}"/>
  </hyperlinks>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F77"/>
  <sheetViews>
    <sheetView workbookViewId="0">
      <selection activeCell="E1" sqref="E1"/>
    </sheetView>
  </sheetViews>
  <sheetFormatPr defaultColWidth="9.140625" defaultRowHeight="12.75" x14ac:dyDescent="0.2"/>
  <cols>
    <col min="1" max="1" width="8.42578125" style="3" bestFit="1" customWidth="1"/>
    <col min="2" max="2" width="33.85546875" style="3" bestFit="1" customWidth="1"/>
    <col min="3" max="3" width="32.140625" style="3" bestFit="1" customWidth="1"/>
    <col min="4" max="4" width="40.5703125" style="3" customWidth="1"/>
    <col min="5" max="16384" width="9.140625" style="3"/>
  </cols>
  <sheetData>
    <row r="1" spans="1:6" ht="18" x14ac:dyDescent="0.2">
      <c r="A1" t="s">
        <v>318</v>
      </c>
      <c r="B1" t="s">
        <v>753</v>
      </c>
      <c r="C1" t="s">
        <v>754</v>
      </c>
      <c r="E1" s="47">
        <v>1</v>
      </c>
      <c r="F1" s="17" t="s">
        <v>365</v>
      </c>
    </row>
    <row r="2" spans="1:6" x14ac:dyDescent="0.2">
      <c r="A2" t="s">
        <v>1130</v>
      </c>
      <c r="B2" t="s">
        <v>1131</v>
      </c>
      <c r="C2" t="s">
        <v>1132</v>
      </c>
    </row>
    <row r="3" spans="1:6" x14ac:dyDescent="0.2">
      <c r="A3" t="s">
        <v>144</v>
      </c>
      <c r="B3" t="s">
        <v>612</v>
      </c>
      <c r="C3" t="s">
        <v>613</v>
      </c>
    </row>
    <row r="4" spans="1:6" x14ac:dyDescent="0.2">
      <c r="A4" t="s">
        <v>20</v>
      </c>
      <c r="B4" t="s">
        <v>614</v>
      </c>
      <c r="C4" t="s">
        <v>615</v>
      </c>
    </row>
    <row r="5" spans="1:6" x14ac:dyDescent="0.2">
      <c r="A5" t="s">
        <v>26</v>
      </c>
      <c r="B5" t="s">
        <v>616</v>
      </c>
      <c r="C5" t="s">
        <v>616</v>
      </c>
    </row>
    <row r="6" spans="1:6" x14ac:dyDescent="0.2">
      <c r="A6" t="s">
        <v>1133</v>
      </c>
      <c r="B6" t="s">
        <v>1134</v>
      </c>
      <c r="C6" t="s">
        <v>1135</v>
      </c>
    </row>
    <row r="7" spans="1:6" x14ac:dyDescent="0.2">
      <c r="A7" t="s">
        <v>23</v>
      </c>
      <c r="B7" t="s">
        <v>617</v>
      </c>
      <c r="C7" t="s">
        <v>618</v>
      </c>
    </row>
    <row r="8" spans="1:6" x14ac:dyDescent="0.2">
      <c r="A8" t="s">
        <v>29</v>
      </c>
      <c r="B8" t="s">
        <v>619</v>
      </c>
      <c r="C8" t="s">
        <v>619</v>
      </c>
    </row>
    <row r="9" spans="1:6" x14ac:dyDescent="0.2">
      <c r="A9" t="s">
        <v>1136</v>
      </c>
      <c r="B9" t="s">
        <v>1137</v>
      </c>
      <c r="C9" t="s">
        <v>1138</v>
      </c>
    </row>
    <row r="10" spans="1:6" x14ac:dyDescent="0.2">
      <c r="A10" t="s">
        <v>32</v>
      </c>
      <c r="B10" t="s">
        <v>620</v>
      </c>
      <c r="C10" t="s">
        <v>621</v>
      </c>
    </row>
    <row r="11" spans="1:6" x14ac:dyDescent="0.2">
      <c r="A11" t="s">
        <v>1139</v>
      </c>
      <c r="B11" t="s">
        <v>1140</v>
      </c>
      <c r="C11" t="s">
        <v>1140</v>
      </c>
    </row>
    <row r="12" spans="1:6" x14ac:dyDescent="0.2">
      <c r="A12" t="s">
        <v>38</v>
      </c>
      <c r="B12" t="s">
        <v>622</v>
      </c>
      <c r="C12" t="s">
        <v>623</v>
      </c>
    </row>
    <row r="13" spans="1:6" x14ac:dyDescent="0.2">
      <c r="A13" t="s">
        <v>1141</v>
      </c>
      <c r="B13" t="s">
        <v>1142</v>
      </c>
      <c r="C13" t="s">
        <v>1143</v>
      </c>
    </row>
    <row r="14" spans="1:6" x14ac:dyDescent="0.2">
      <c r="A14" t="s">
        <v>1144</v>
      </c>
      <c r="B14" t="s">
        <v>1145</v>
      </c>
      <c r="C14" t="s">
        <v>1146</v>
      </c>
    </row>
    <row r="15" spans="1:6" x14ac:dyDescent="0.2">
      <c r="A15" t="s">
        <v>41</v>
      </c>
      <c r="B15" t="s">
        <v>624</v>
      </c>
      <c r="C15" t="s">
        <v>624</v>
      </c>
    </row>
    <row r="16" spans="1:6" x14ac:dyDescent="0.2">
      <c r="A16" t="s">
        <v>44</v>
      </c>
      <c r="B16" t="s">
        <v>625</v>
      </c>
      <c r="C16" t="s">
        <v>626</v>
      </c>
    </row>
    <row r="17" spans="1:3" x14ac:dyDescent="0.2">
      <c r="A17" t="s">
        <v>47</v>
      </c>
      <c r="B17" t="s">
        <v>627</v>
      </c>
      <c r="C17" t="s">
        <v>628</v>
      </c>
    </row>
    <row r="18" spans="1:3" x14ac:dyDescent="0.2">
      <c r="A18" t="s">
        <v>0</v>
      </c>
      <c r="B18" t="s">
        <v>1147</v>
      </c>
      <c r="C18" t="s">
        <v>1148</v>
      </c>
    </row>
    <row r="19" spans="1:3" x14ac:dyDescent="0.2">
      <c r="A19" t="s">
        <v>1</v>
      </c>
      <c r="B19" t="s">
        <v>1149</v>
      </c>
      <c r="C19" t="s">
        <v>1149</v>
      </c>
    </row>
    <row r="20" spans="1:3" x14ac:dyDescent="0.2">
      <c r="A20" t="s">
        <v>52</v>
      </c>
      <c r="B20" t="s">
        <v>629</v>
      </c>
      <c r="C20" t="s">
        <v>630</v>
      </c>
    </row>
    <row r="21" spans="1:3" x14ac:dyDescent="0.2">
      <c r="A21" t="s">
        <v>2</v>
      </c>
      <c r="B21" t="s">
        <v>1150</v>
      </c>
      <c r="C21" t="s">
        <v>1151</v>
      </c>
    </row>
    <row r="22" spans="1:3" x14ac:dyDescent="0.2">
      <c r="A22" t="s">
        <v>147</v>
      </c>
      <c r="B22" t="s">
        <v>631</v>
      </c>
      <c r="C22" t="s">
        <v>1152</v>
      </c>
    </row>
    <row r="23" spans="1:3" x14ac:dyDescent="0.2">
      <c r="A23" t="s">
        <v>1153</v>
      </c>
      <c r="B23" t="s">
        <v>1154</v>
      </c>
      <c r="C23" t="s">
        <v>1155</v>
      </c>
    </row>
    <row r="24" spans="1:3" x14ac:dyDescent="0.2">
      <c r="A24" t="s">
        <v>55</v>
      </c>
      <c r="B24" t="s">
        <v>632</v>
      </c>
      <c r="C24" t="s">
        <v>633</v>
      </c>
    </row>
    <row r="25" spans="1:3" x14ac:dyDescent="0.2">
      <c r="A25" t="s">
        <v>1156</v>
      </c>
      <c r="B25" t="s">
        <v>1157</v>
      </c>
      <c r="C25" t="s">
        <v>1158</v>
      </c>
    </row>
    <row r="26" spans="1:3" x14ac:dyDescent="0.2">
      <c r="A26" t="s">
        <v>1159</v>
      </c>
      <c r="B26" t="s">
        <v>1160</v>
      </c>
      <c r="C26" t="s">
        <v>1161</v>
      </c>
    </row>
    <row r="27" spans="1:3" x14ac:dyDescent="0.2">
      <c r="A27" t="s">
        <v>1162</v>
      </c>
      <c r="B27" t="s">
        <v>1163</v>
      </c>
      <c r="C27" t="s">
        <v>1163</v>
      </c>
    </row>
    <row r="28" spans="1:3" x14ac:dyDescent="0.2">
      <c r="A28" t="s">
        <v>61</v>
      </c>
      <c r="B28" t="s">
        <v>634</v>
      </c>
      <c r="C28" t="s">
        <v>635</v>
      </c>
    </row>
    <row r="29" spans="1:3" x14ac:dyDescent="0.2">
      <c r="A29" t="s">
        <v>58</v>
      </c>
      <c r="B29" t="s">
        <v>636</v>
      </c>
      <c r="C29" t="s">
        <v>637</v>
      </c>
    </row>
    <row r="30" spans="1:3" x14ac:dyDescent="0.2">
      <c r="A30" t="s">
        <v>63</v>
      </c>
      <c r="B30" t="s">
        <v>1164</v>
      </c>
      <c r="C30" t="s">
        <v>1165</v>
      </c>
    </row>
    <row r="31" spans="1:3" x14ac:dyDescent="0.2">
      <c r="A31" t="s">
        <v>1166</v>
      </c>
      <c r="B31" t="s">
        <v>1167</v>
      </c>
      <c r="C31" t="s">
        <v>1168</v>
      </c>
    </row>
    <row r="32" spans="1:3" x14ac:dyDescent="0.2">
      <c r="A32" t="s">
        <v>68</v>
      </c>
      <c r="B32" t="s">
        <v>638</v>
      </c>
      <c r="C32" t="s">
        <v>639</v>
      </c>
    </row>
    <row r="33" spans="1:3" x14ac:dyDescent="0.2">
      <c r="A33" t="s">
        <v>4</v>
      </c>
      <c r="B33" t="s">
        <v>1169</v>
      </c>
      <c r="C33" t="s">
        <v>1170</v>
      </c>
    </row>
    <row r="34" spans="1:3" x14ac:dyDescent="0.2">
      <c r="A34" t="s">
        <v>74</v>
      </c>
      <c r="B34" t="s">
        <v>640</v>
      </c>
      <c r="C34" t="s">
        <v>641</v>
      </c>
    </row>
    <row r="35" spans="1:3" x14ac:dyDescent="0.2">
      <c r="A35" t="s">
        <v>71</v>
      </c>
      <c r="B35" t="s">
        <v>642</v>
      </c>
      <c r="C35" t="s">
        <v>643</v>
      </c>
    </row>
    <row r="36" spans="1:3" x14ac:dyDescent="0.2">
      <c r="A36" t="s">
        <v>77</v>
      </c>
      <c r="B36" t="s">
        <v>644</v>
      </c>
      <c r="C36" t="s">
        <v>644</v>
      </c>
    </row>
    <row r="37" spans="1:3" x14ac:dyDescent="0.2">
      <c r="A37" t="s">
        <v>1171</v>
      </c>
      <c r="B37" t="s">
        <v>1172</v>
      </c>
      <c r="C37" t="s">
        <v>1173</v>
      </c>
    </row>
    <row r="38" spans="1:3" x14ac:dyDescent="0.2">
      <c r="A38" t="s">
        <v>126</v>
      </c>
      <c r="B38" t="s">
        <v>1174</v>
      </c>
      <c r="C38" t="s">
        <v>1175</v>
      </c>
    </row>
    <row r="39" spans="1:3" x14ac:dyDescent="0.2">
      <c r="A39" t="s">
        <v>80</v>
      </c>
      <c r="B39" t="s">
        <v>645</v>
      </c>
      <c r="C39" t="s">
        <v>646</v>
      </c>
    </row>
    <row r="40" spans="1:3" x14ac:dyDescent="0.2">
      <c r="A40" t="s">
        <v>1176</v>
      </c>
      <c r="B40" t="s">
        <v>1177</v>
      </c>
      <c r="C40" t="s">
        <v>1178</v>
      </c>
    </row>
    <row r="41" spans="1:3" x14ac:dyDescent="0.2">
      <c r="A41" t="s">
        <v>129</v>
      </c>
      <c r="B41" t="s">
        <v>647</v>
      </c>
      <c r="C41" t="s">
        <v>647</v>
      </c>
    </row>
    <row r="42" spans="1:3" x14ac:dyDescent="0.2">
      <c r="A42" t="s">
        <v>83</v>
      </c>
      <c r="B42" t="s">
        <v>648</v>
      </c>
      <c r="C42" t="s">
        <v>648</v>
      </c>
    </row>
    <row r="43" spans="1:3" x14ac:dyDescent="0.2">
      <c r="A43" t="s">
        <v>89</v>
      </c>
      <c r="B43" t="s">
        <v>649</v>
      </c>
      <c r="C43" t="s">
        <v>649</v>
      </c>
    </row>
    <row r="44" spans="1:3" x14ac:dyDescent="0.2">
      <c r="A44" t="s">
        <v>1179</v>
      </c>
      <c r="B44" t="s">
        <v>1180</v>
      </c>
      <c r="C44" t="s">
        <v>1181</v>
      </c>
    </row>
    <row r="45" spans="1:3" x14ac:dyDescent="0.2">
      <c r="A45" t="s">
        <v>1182</v>
      </c>
      <c r="B45" t="s">
        <v>1183</v>
      </c>
      <c r="C45" t="s">
        <v>1183</v>
      </c>
    </row>
    <row r="46" spans="1:3" x14ac:dyDescent="0.2">
      <c r="A46" t="s">
        <v>1184</v>
      </c>
      <c r="B46" t="s">
        <v>1185</v>
      </c>
      <c r="C46" t="s">
        <v>1186</v>
      </c>
    </row>
    <row r="47" spans="1:3" x14ac:dyDescent="0.2">
      <c r="A47" t="s">
        <v>95</v>
      </c>
      <c r="B47" t="s">
        <v>650</v>
      </c>
      <c r="C47" t="s">
        <v>650</v>
      </c>
    </row>
    <row r="48" spans="1:3" x14ac:dyDescent="0.2">
      <c r="A48" t="s">
        <v>92</v>
      </c>
      <c r="B48" t="s">
        <v>651</v>
      </c>
      <c r="C48" t="s">
        <v>652</v>
      </c>
    </row>
    <row r="49" spans="1:3" x14ac:dyDescent="0.2">
      <c r="A49" t="s">
        <v>86</v>
      </c>
      <c r="B49" t="s">
        <v>653</v>
      </c>
      <c r="C49" t="s">
        <v>654</v>
      </c>
    </row>
    <row r="50" spans="1:3" x14ac:dyDescent="0.2">
      <c r="A50" t="s">
        <v>1385</v>
      </c>
      <c r="B50" t="s">
        <v>1386</v>
      </c>
      <c r="C50" t="s">
        <v>1386</v>
      </c>
    </row>
    <row r="51" spans="1:3" x14ac:dyDescent="0.2">
      <c r="A51" t="s">
        <v>1187</v>
      </c>
      <c r="B51" t="s">
        <v>1188</v>
      </c>
      <c r="C51" t="s">
        <v>1189</v>
      </c>
    </row>
    <row r="52" spans="1:3" x14ac:dyDescent="0.2">
      <c r="A52" t="s">
        <v>1190</v>
      </c>
      <c r="B52" t="s">
        <v>1191</v>
      </c>
      <c r="C52" t="s">
        <v>1192</v>
      </c>
    </row>
    <row r="53" spans="1:3" x14ac:dyDescent="0.2">
      <c r="A53" t="s">
        <v>100</v>
      </c>
      <c r="B53" t="s">
        <v>655</v>
      </c>
      <c r="C53" t="s">
        <v>655</v>
      </c>
    </row>
    <row r="54" spans="1:3" x14ac:dyDescent="0.2">
      <c r="A54" t="s">
        <v>103</v>
      </c>
      <c r="B54" t="s">
        <v>656</v>
      </c>
      <c r="C54" t="s">
        <v>656</v>
      </c>
    </row>
    <row r="55" spans="1:3" x14ac:dyDescent="0.2">
      <c r="A55" t="s">
        <v>1193</v>
      </c>
      <c r="B55" t="s">
        <v>1194</v>
      </c>
      <c r="C55" t="s">
        <v>1194</v>
      </c>
    </row>
    <row r="56" spans="1:3" x14ac:dyDescent="0.2">
      <c r="A56" t="s">
        <v>106</v>
      </c>
      <c r="B56" t="s">
        <v>657</v>
      </c>
      <c r="C56" t="s">
        <v>657</v>
      </c>
    </row>
    <row r="57" spans="1:3" x14ac:dyDescent="0.2">
      <c r="A57" t="s">
        <v>1195</v>
      </c>
      <c r="B57" t="s">
        <v>1196</v>
      </c>
      <c r="C57" t="s">
        <v>1197</v>
      </c>
    </row>
    <row r="58" spans="1:3" x14ac:dyDescent="0.2">
      <c r="A58" t="s">
        <v>3</v>
      </c>
      <c r="B58" t="s">
        <v>1198</v>
      </c>
      <c r="C58" t="s">
        <v>1198</v>
      </c>
    </row>
    <row r="59" spans="1:3" x14ac:dyDescent="0.2">
      <c r="A59" t="s">
        <v>109</v>
      </c>
      <c r="B59" t="s">
        <v>658</v>
      </c>
      <c r="C59" t="s">
        <v>658</v>
      </c>
    </row>
    <row r="60" spans="1:3" x14ac:dyDescent="0.2">
      <c r="A60" t="s">
        <v>1199</v>
      </c>
      <c r="B60" t="s">
        <v>1200</v>
      </c>
      <c r="C60" t="s">
        <v>1201</v>
      </c>
    </row>
    <row r="61" spans="1:3" x14ac:dyDescent="0.2">
      <c r="A61" t="s">
        <v>112</v>
      </c>
      <c r="B61" t="s">
        <v>659</v>
      </c>
      <c r="C61" t="s">
        <v>660</v>
      </c>
    </row>
    <row r="62" spans="1:3" x14ac:dyDescent="0.2">
      <c r="A62" t="s">
        <v>132</v>
      </c>
      <c r="B62" t="s">
        <v>661</v>
      </c>
      <c r="C62" t="s">
        <v>662</v>
      </c>
    </row>
    <row r="63" spans="1:3" x14ac:dyDescent="0.2">
      <c r="A63" t="s">
        <v>114</v>
      </c>
      <c r="B63" t="s">
        <v>663</v>
      </c>
      <c r="C63" t="s">
        <v>664</v>
      </c>
    </row>
    <row r="64" spans="1:3" x14ac:dyDescent="0.2">
      <c r="A64" t="s">
        <v>1382</v>
      </c>
      <c r="B64" t="s">
        <v>1383</v>
      </c>
      <c r="C64" t="s">
        <v>1384</v>
      </c>
    </row>
    <row r="65" spans="1:3" x14ac:dyDescent="0.2">
      <c r="A65" t="s">
        <v>1202</v>
      </c>
      <c r="B65" t="s">
        <v>1203</v>
      </c>
      <c r="C65" t="s">
        <v>1204</v>
      </c>
    </row>
    <row r="66" spans="1:3" x14ac:dyDescent="0.2">
      <c r="A66" t="s">
        <v>117</v>
      </c>
      <c r="B66" t="s">
        <v>665</v>
      </c>
      <c r="C66" t="s">
        <v>665</v>
      </c>
    </row>
    <row r="67" spans="1:3" x14ac:dyDescent="0.2">
      <c r="A67" t="s">
        <v>1205</v>
      </c>
      <c r="B67" t="s">
        <v>1206</v>
      </c>
      <c r="C67" t="s">
        <v>1206</v>
      </c>
    </row>
    <row r="68" spans="1:3" x14ac:dyDescent="0.2">
      <c r="A68" t="s">
        <v>138</v>
      </c>
      <c r="B68" t="s">
        <v>666</v>
      </c>
      <c r="C68" t="s">
        <v>667</v>
      </c>
    </row>
    <row r="69" spans="1:3" x14ac:dyDescent="0.2">
      <c r="A69" t="s">
        <v>141</v>
      </c>
      <c r="B69" t="s">
        <v>668</v>
      </c>
      <c r="C69" t="s">
        <v>668</v>
      </c>
    </row>
    <row r="70" spans="1:3" x14ac:dyDescent="0.2">
      <c r="A70" t="s">
        <v>35</v>
      </c>
      <c r="B70" t="s">
        <v>669</v>
      </c>
      <c r="C70" t="s">
        <v>670</v>
      </c>
    </row>
    <row r="71" spans="1:3" x14ac:dyDescent="0.2">
      <c r="A71" t="s">
        <v>135</v>
      </c>
      <c r="B71" t="s">
        <v>1207</v>
      </c>
      <c r="C71" t="s">
        <v>1208</v>
      </c>
    </row>
    <row r="72" spans="1:3" x14ac:dyDescent="0.2">
      <c r="A72" t="s">
        <v>1209</v>
      </c>
      <c r="B72" t="s">
        <v>1210</v>
      </c>
      <c r="C72" t="s">
        <v>1210</v>
      </c>
    </row>
    <row r="73" spans="1:3" x14ac:dyDescent="0.2">
      <c r="A73" t="s">
        <v>150</v>
      </c>
      <c r="B73" t="s">
        <v>671</v>
      </c>
      <c r="C73" t="s">
        <v>671</v>
      </c>
    </row>
    <row r="74" spans="1:3" x14ac:dyDescent="0.2">
      <c r="A74" t="s">
        <v>1211</v>
      </c>
      <c r="B74" t="s">
        <v>1212</v>
      </c>
      <c r="C74" t="s">
        <v>1213</v>
      </c>
    </row>
    <row r="75" spans="1:3" x14ac:dyDescent="0.2">
      <c r="A75" t="s">
        <v>153</v>
      </c>
      <c r="B75" t="s">
        <v>672</v>
      </c>
      <c r="C75" t="s">
        <v>672</v>
      </c>
    </row>
    <row r="76" spans="1:3" x14ac:dyDescent="0.2">
      <c r="A76" t="s">
        <v>156</v>
      </c>
      <c r="B76" t="s">
        <v>673</v>
      </c>
      <c r="C76" t="s">
        <v>674</v>
      </c>
    </row>
    <row r="77" spans="1:3" x14ac:dyDescent="0.2">
      <c r="A77" t="s">
        <v>123</v>
      </c>
      <c r="B77" t="s">
        <v>675</v>
      </c>
      <c r="C77" t="s">
        <v>1214</v>
      </c>
    </row>
  </sheetData>
  <sheetProtection autoFilter="0"/>
  <sortState xmlns:xlrd2="http://schemas.microsoft.com/office/spreadsheetml/2017/richdata2" ref="A1:J106">
    <sortCondition ref="B1"/>
  </sortState>
  <phoneticPr fontId="4" type="noConversion"/>
  <dataValidations count="1">
    <dataValidation type="custom" allowBlank="1" showInputMessage="1" showErrorMessage="1" sqref="E1" xr:uid="{00000000-0002-0000-0600-000000000000}">
      <formula1>""</formula1>
    </dataValidation>
  </dataValidations>
  <hyperlinks>
    <hyperlink ref="E1" location="NC!A1" display="1" xr:uid="{00000000-0004-0000-0600-000000000000}"/>
  </hyperlinks>
  <pageMargins left="0.75" right="0.75" top="1" bottom="1" header="0.5" footer="0.5"/>
  <pageSetup orientation="portrait" r:id="rId1"/>
  <headerFooter alignWithMargins="0"/>
  <cellWatches>
    <cellWatch r="A2"/>
  </cellWatche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H6"/>
  <sheetViews>
    <sheetView showGridLines="0" workbookViewId="0">
      <selection activeCell="G1" sqref="G1"/>
    </sheetView>
  </sheetViews>
  <sheetFormatPr defaultRowHeight="12.75" x14ac:dyDescent="0.2"/>
  <cols>
    <col min="1" max="1" width="8.42578125" bestFit="1" customWidth="1"/>
    <col min="2" max="2" width="44" bestFit="1" customWidth="1"/>
    <col min="3" max="3" width="47.5703125" bestFit="1" customWidth="1"/>
    <col min="4" max="8" width="15.7109375" customWidth="1"/>
    <col min="9" max="10" width="40.5703125" customWidth="1"/>
  </cols>
  <sheetData>
    <row r="1" spans="1:8" ht="18" x14ac:dyDescent="0.2">
      <c r="A1" t="s">
        <v>318</v>
      </c>
      <c r="B1" t="s">
        <v>753</v>
      </c>
      <c r="C1" t="s">
        <v>754</v>
      </c>
      <c r="G1" s="47">
        <v>1</v>
      </c>
      <c r="H1" s="17" t="s">
        <v>365</v>
      </c>
    </row>
    <row r="2" spans="1:8" x14ac:dyDescent="0.2">
      <c r="A2" t="s">
        <v>1219</v>
      </c>
      <c r="B2" t="s">
        <v>1622</v>
      </c>
      <c r="C2" t="s">
        <v>1623</v>
      </c>
    </row>
    <row r="3" spans="1:8" x14ac:dyDescent="0.2">
      <c r="A3" s="50" t="s">
        <v>1220</v>
      </c>
      <c r="B3" t="s">
        <v>1624</v>
      </c>
      <c r="C3" t="s">
        <v>1625</v>
      </c>
    </row>
    <row r="4" spans="1:8" x14ac:dyDescent="0.2">
      <c r="A4" t="s">
        <v>1221</v>
      </c>
      <c r="B4" t="s">
        <v>1258</v>
      </c>
      <c r="C4" t="s">
        <v>1626</v>
      </c>
    </row>
    <row r="5" spans="1:8" x14ac:dyDescent="0.2">
      <c r="A5" t="s">
        <v>1222</v>
      </c>
      <c r="B5" t="s">
        <v>1627</v>
      </c>
      <c r="C5" t="s">
        <v>1628</v>
      </c>
    </row>
    <row r="6" spans="1:8" x14ac:dyDescent="0.2">
      <c r="A6" t="s">
        <v>1259</v>
      </c>
      <c r="B6" t="s">
        <v>1260</v>
      </c>
      <c r="C6" t="s">
        <v>1261</v>
      </c>
    </row>
  </sheetData>
  <sheetProtection algorithmName="SHA-512" hashValue="Mxdt5Kf1a5ZVFuTXDRB+uhddRIDXmEkZUqxce10upGxsWNxFOV1etUgkOw5pHeFUFd+C0otKOQm+hye6L/ZWoA==" saltValue="F33Xt+Rl1VPJxi0UMqiOtA==" spinCount="100000" sheet="1" objects="1" scenarios="1"/>
  <dataValidations count="1">
    <dataValidation type="custom" allowBlank="1" showInputMessage="1" showErrorMessage="1" sqref="G1" xr:uid="{00000000-0002-0000-0700-000000000000}">
      <formula1>""</formula1>
    </dataValidation>
  </dataValidations>
  <hyperlinks>
    <hyperlink ref="G1" location="NC!A1" display="1" xr:uid="{00000000-0004-0000-0700-000000000000}"/>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G255"/>
  <sheetViews>
    <sheetView workbookViewId="0">
      <selection activeCell="F1" sqref="F1"/>
    </sheetView>
  </sheetViews>
  <sheetFormatPr defaultColWidth="9.140625" defaultRowHeight="12.75" x14ac:dyDescent="0.2"/>
  <cols>
    <col min="1" max="1" width="8.42578125" style="3" bestFit="1" customWidth="1"/>
    <col min="2" max="2" width="57.28515625" style="3" bestFit="1" customWidth="1"/>
    <col min="3" max="3" width="56.28515625" style="3" bestFit="1" customWidth="1"/>
    <col min="4" max="4" width="81.140625" style="3" bestFit="1" customWidth="1"/>
    <col min="5" max="5" width="40.5703125" style="3" customWidth="1"/>
    <col min="6" max="16384" width="9.140625" style="3"/>
  </cols>
  <sheetData>
    <row r="1" spans="1:7" ht="18" x14ac:dyDescent="0.2">
      <c r="A1" s="112" t="s">
        <v>318</v>
      </c>
      <c r="B1" s="68" t="s">
        <v>753</v>
      </c>
      <c r="C1" s="68" t="s">
        <v>754</v>
      </c>
      <c r="D1" s="69" t="s">
        <v>855</v>
      </c>
      <c r="F1" s="47">
        <v>1</v>
      </c>
      <c r="G1" s="17" t="s">
        <v>365</v>
      </c>
    </row>
    <row r="2" spans="1:7" x14ac:dyDescent="0.2">
      <c r="A2" s="66" t="s">
        <v>21</v>
      </c>
      <c r="B2" s="60" t="s">
        <v>561</v>
      </c>
      <c r="C2" s="60" t="s">
        <v>676</v>
      </c>
      <c r="D2" s="67" t="s">
        <v>22</v>
      </c>
    </row>
    <row r="3" spans="1:7" x14ac:dyDescent="0.2">
      <c r="A3" s="66" t="s">
        <v>24</v>
      </c>
      <c r="B3" s="60" t="s">
        <v>428</v>
      </c>
      <c r="C3" s="60" t="s">
        <v>429</v>
      </c>
      <c r="D3" s="67" t="s">
        <v>25</v>
      </c>
    </row>
    <row r="4" spans="1:7" x14ac:dyDescent="0.2">
      <c r="A4" s="66" t="s">
        <v>27</v>
      </c>
      <c r="B4" s="60" t="s">
        <v>537</v>
      </c>
      <c r="C4" s="60" t="s">
        <v>538</v>
      </c>
      <c r="D4" s="67" t="s">
        <v>28</v>
      </c>
    </row>
    <row r="5" spans="1:7" x14ac:dyDescent="0.2">
      <c r="A5" s="66" t="s">
        <v>30</v>
      </c>
      <c r="B5" s="60" t="s">
        <v>416</v>
      </c>
      <c r="C5" s="60" t="s">
        <v>417</v>
      </c>
      <c r="D5" s="67" t="s">
        <v>31</v>
      </c>
    </row>
    <row r="6" spans="1:7" x14ac:dyDescent="0.2">
      <c r="A6" s="66" t="s">
        <v>33</v>
      </c>
      <c r="B6" s="60" t="s">
        <v>529</v>
      </c>
      <c r="C6" s="60" t="s">
        <v>530</v>
      </c>
      <c r="D6" s="67" t="s">
        <v>34</v>
      </c>
    </row>
    <row r="7" spans="1:7" x14ac:dyDescent="0.2">
      <c r="A7" s="66" t="s">
        <v>36</v>
      </c>
      <c r="B7" s="60" t="s">
        <v>554</v>
      </c>
      <c r="C7" s="60" t="s">
        <v>555</v>
      </c>
      <c r="D7" s="67" t="s">
        <v>37</v>
      </c>
    </row>
    <row r="8" spans="1:7" x14ac:dyDescent="0.2">
      <c r="A8" s="66" t="s">
        <v>39</v>
      </c>
      <c r="B8" s="60" t="s">
        <v>431</v>
      </c>
      <c r="C8" s="60" t="s">
        <v>432</v>
      </c>
      <c r="D8" s="67" t="s">
        <v>40</v>
      </c>
    </row>
    <row r="9" spans="1:7" x14ac:dyDescent="0.2">
      <c r="A9" s="66" t="s">
        <v>42</v>
      </c>
      <c r="B9" s="60" t="s">
        <v>445</v>
      </c>
      <c r="C9" s="60" t="s">
        <v>446</v>
      </c>
      <c r="D9" s="67" t="s">
        <v>43</v>
      </c>
    </row>
    <row r="10" spans="1:7" x14ac:dyDescent="0.2">
      <c r="A10" s="66" t="s">
        <v>45</v>
      </c>
      <c r="B10" s="60" t="s">
        <v>501</v>
      </c>
      <c r="C10" s="60" t="s">
        <v>502</v>
      </c>
      <c r="D10" s="67" t="s">
        <v>46</v>
      </c>
    </row>
    <row r="11" spans="1:7" x14ac:dyDescent="0.2">
      <c r="A11" s="66" t="s">
        <v>860</v>
      </c>
      <c r="B11" s="60" t="s">
        <v>861</v>
      </c>
      <c r="C11" s="60" t="s">
        <v>862</v>
      </c>
      <c r="D11" s="67" t="s">
        <v>863</v>
      </c>
    </row>
    <row r="12" spans="1:7" x14ac:dyDescent="0.2">
      <c r="A12" s="66" t="s">
        <v>864</v>
      </c>
      <c r="B12" s="60" t="s">
        <v>865</v>
      </c>
      <c r="C12" s="60" t="s">
        <v>866</v>
      </c>
      <c r="D12" s="67" t="s">
        <v>867</v>
      </c>
    </row>
    <row r="13" spans="1:7" x14ac:dyDescent="0.2">
      <c r="A13" s="66" t="s">
        <v>48</v>
      </c>
      <c r="B13" s="60" t="s">
        <v>535</v>
      </c>
      <c r="C13" s="60" t="s">
        <v>536</v>
      </c>
      <c r="D13" s="67" t="s">
        <v>49</v>
      </c>
    </row>
    <row r="14" spans="1:7" x14ac:dyDescent="0.2">
      <c r="A14" s="66" t="s">
        <v>50</v>
      </c>
      <c r="B14" s="60" t="s">
        <v>496</v>
      </c>
      <c r="C14" s="60" t="s">
        <v>497</v>
      </c>
      <c r="D14" s="67" t="s">
        <v>51</v>
      </c>
    </row>
    <row r="15" spans="1:7" x14ac:dyDescent="0.2">
      <c r="A15" s="66" t="s">
        <v>53</v>
      </c>
      <c r="B15" s="60" t="s">
        <v>490</v>
      </c>
      <c r="C15" s="60" t="s">
        <v>491</v>
      </c>
      <c r="D15" s="67" t="s">
        <v>54</v>
      </c>
    </row>
    <row r="16" spans="1:7" x14ac:dyDescent="0.2">
      <c r="A16" s="66" t="s">
        <v>59</v>
      </c>
      <c r="B16" s="60" t="s">
        <v>435</v>
      </c>
      <c r="C16" s="60" t="s">
        <v>436</v>
      </c>
      <c r="D16" s="67" t="s">
        <v>60</v>
      </c>
    </row>
    <row r="17" spans="1:4" x14ac:dyDescent="0.2">
      <c r="A17" s="66" t="s">
        <v>56</v>
      </c>
      <c r="B17" s="60" t="s">
        <v>480</v>
      </c>
      <c r="C17" s="60" t="s">
        <v>481</v>
      </c>
      <c r="D17" s="67" t="s">
        <v>57</v>
      </c>
    </row>
    <row r="18" spans="1:4" x14ac:dyDescent="0.2">
      <c r="A18" s="66" t="s">
        <v>38</v>
      </c>
      <c r="B18" s="60" t="s">
        <v>462</v>
      </c>
      <c r="C18" s="60" t="s">
        <v>463</v>
      </c>
      <c r="D18" s="67" t="s">
        <v>62</v>
      </c>
    </row>
    <row r="19" spans="1:4" x14ac:dyDescent="0.2">
      <c r="A19" s="66" t="s">
        <v>64</v>
      </c>
      <c r="B19" s="60" t="s">
        <v>484</v>
      </c>
      <c r="C19" s="60" t="s">
        <v>485</v>
      </c>
      <c r="D19" s="67" t="s">
        <v>65</v>
      </c>
    </row>
    <row r="20" spans="1:4" x14ac:dyDescent="0.2">
      <c r="A20" s="66" t="s">
        <v>856</v>
      </c>
      <c r="B20" s="60" t="s">
        <v>857</v>
      </c>
      <c r="C20" s="60" t="s">
        <v>858</v>
      </c>
      <c r="D20" s="67" t="s">
        <v>859</v>
      </c>
    </row>
    <row r="21" spans="1:4" x14ac:dyDescent="0.2">
      <c r="A21" s="66" t="s">
        <v>1099</v>
      </c>
      <c r="B21" s="60" t="s">
        <v>1100</v>
      </c>
      <c r="C21" s="60" t="s">
        <v>1225</v>
      </c>
      <c r="D21" s="67" t="s">
        <v>1226</v>
      </c>
    </row>
    <row r="22" spans="1:4" x14ac:dyDescent="0.2">
      <c r="A22" s="66" t="s">
        <v>66</v>
      </c>
      <c r="B22" s="60" t="s">
        <v>418</v>
      </c>
      <c r="C22" s="60" t="s">
        <v>419</v>
      </c>
      <c r="D22" s="67" t="s">
        <v>67</v>
      </c>
    </row>
    <row r="23" spans="1:4" x14ac:dyDescent="0.2">
      <c r="A23" s="66" t="s">
        <v>69</v>
      </c>
      <c r="B23" s="60" t="s">
        <v>420</v>
      </c>
      <c r="C23" s="60" t="s">
        <v>421</v>
      </c>
      <c r="D23" s="67" t="s">
        <v>70</v>
      </c>
    </row>
    <row r="24" spans="1:4" x14ac:dyDescent="0.2">
      <c r="A24" s="66" t="s">
        <v>145</v>
      </c>
      <c r="B24" s="60" t="s">
        <v>424</v>
      </c>
      <c r="C24" s="60" t="s">
        <v>425</v>
      </c>
      <c r="D24" s="67" t="s">
        <v>146</v>
      </c>
    </row>
    <row r="25" spans="1:4" x14ac:dyDescent="0.2">
      <c r="A25" s="66" t="s">
        <v>124</v>
      </c>
      <c r="B25" s="60" t="s">
        <v>433</v>
      </c>
      <c r="C25" s="60" t="s">
        <v>434</v>
      </c>
      <c r="D25" s="67" t="s">
        <v>125</v>
      </c>
    </row>
    <row r="26" spans="1:4" x14ac:dyDescent="0.2">
      <c r="A26" s="66" t="s">
        <v>133</v>
      </c>
      <c r="B26" s="60" t="s">
        <v>438</v>
      </c>
      <c r="C26" s="60" t="s">
        <v>439</v>
      </c>
      <c r="D26" s="67" t="s">
        <v>134</v>
      </c>
    </row>
    <row r="27" spans="1:4" x14ac:dyDescent="0.2">
      <c r="A27" s="66" t="s">
        <v>72</v>
      </c>
      <c r="B27" s="60" t="s">
        <v>440</v>
      </c>
      <c r="C27" s="60" t="s">
        <v>441</v>
      </c>
      <c r="D27" s="67" t="s">
        <v>73</v>
      </c>
    </row>
    <row r="28" spans="1:4" x14ac:dyDescent="0.2">
      <c r="A28" s="66" t="s">
        <v>1406</v>
      </c>
      <c r="B28" s="60" t="s">
        <v>1407</v>
      </c>
      <c r="C28" s="60" t="s">
        <v>1408</v>
      </c>
      <c r="D28" s="67" t="s">
        <v>1409</v>
      </c>
    </row>
    <row r="29" spans="1:4" x14ac:dyDescent="0.2">
      <c r="A29" s="66" t="s">
        <v>75</v>
      </c>
      <c r="B29" s="60" t="s">
        <v>442</v>
      </c>
      <c r="C29" s="60" t="s">
        <v>925</v>
      </c>
      <c r="D29" s="67" t="s">
        <v>76</v>
      </c>
    </row>
    <row r="30" spans="1:4" x14ac:dyDescent="0.2">
      <c r="A30" s="66" t="s">
        <v>1410</v>
      </c>
      <c r="B30" s="60" t="s">
        <v>1411</v>
      </c>
      <c r="C30" s="60" t="s">
        <v>1412</v>
      </c>
      <c r="D30" s="67" t="s">
        <v>1413</v>
      </c>
    </row>
    <row r="31" spans="1:4" x14ac:dyDescent="0.2">
      <c r="A31" s="66" t="s">
        <v>1414</v>
      </c>
      <c r="B31" s="60" t="s">
        <v>1415</v>
      </c>
      <c r="C31" s="60" t="s">
        <v>1416</v>
      </c>
      <c r="D31" s="67" t="s">
        <v>180</v>
      </c>
    </row>
    <row r="32" spans="1:4" x14ac:dyDescent="0.2">
      <c r="A32" s="66" t="s">
        <v>194</v>
      </c>
      <c r="B32" s="60" t="s">
        <v>447</v>
      </c>
      <c r="C32" s="60" t="s">
        <v>448</v>
      </c>
      <c r="D32" s="67" t="s">
        <v>195</v>
      </c>
    </row>
    <row r="33" spans="1:4" x14ac:dyDescent="0.2">
      <c r="A33" s="66" t="s">
        <v>1016</v>
      </c>
      <c r="B33" s="60" t="s">
        <v>1017</v>
      </c>
      <c r="C33" s="60" t="s">
        <v>1018</v>
      </c>
      <c r="D33" s="67" t="s">
        <v>1019</v>
      </c>
    </row>
    <row r="34" spans="1:4" x14ac:dyDescent="0.2">
      <c r="A34" s="66" t="s">
        <v>139</v>
      </c>
      <c r="B34" s="60" t="s">
        <v>449</v>
      </c>
      <c r="C34" s="60" t="s">
        <v>450</v>
      </c>
      <c r="D34" s="67" t="s">
        <v>140</v>
      </c>
    </row>
    <row r="35" spans="1:4" x14ac:dyDescent="0.2">
      <c r="A35" s="66" t="s">
        <v>127</v>
      </c>
      <c r="B35" s="60" t="s">
        <v>451</v>
      </c>
      <c r="C35" s="60" t="s">
        <v>452</v>
      </c>
      <c r="D35" s="67" t="s">
        <v>128</v>
      </c>
    </row>
    <row r="36" spans="1:4" x14ac:dyDescent="0.2">
      <c r="A36" s="66" t="s">
        <v>148</v>
      </c>
      <c r="B36" s="60" t="s">
        <v>453</v>
      </c>
      <c r="C36" s="60" t="s">
        <v>1227</v>
      </c>
      <c r="D36" s="67" t="s">
        <v>149</v>
      </c>
    </row>
    <row r="37" spans="1:4" x14ac:dyDescent="0.2">
      <c r="A37" s="66" t="s">
        <v>78</v>
      </c>
      <c r="B37" s="60" t="s">
        <v>454</v>
      </c>
      <c r="C37" s="60" t="s">
        <v>455</v>
      </c>
      <c r="D37" s="67" t="s">
        <v>79</v>
      </c>
    </row>
    <row r="38" spans="1:4" x14ac:dyDescent="0.2">
      <c r="A38" s="66" t="s">
        <v>182</v>
      </c>
      <c r="B38" s="60" t="s">
        <v>456</v>
      </c>
      <c r="C38" s="60" t="s">
        <v>457</v>
      </c>
      <c r="D38" s="67" t="s">
        <v>183</v>
      </c>
    </row>
    <row r="39" spans="1:4" x14ac:dyDescent="0.2">
      <c r="A39" s="66" t="s">
        <v>1101</v>
      </c>
      <c r="B39" s="60" t="s">
        <v>1102</v>
      </c>
      <c r="C39" s="60" t="s">
        <v>1103</v>
      </c>
      <c r="D39" s="67" t="s">
        <v>1104</v>
      </c>
    </row>
    <row r="40" spans="1:4" x14ac:dyDescent="0.2">
      <c r="A40" s="66" t="s">
        <v>168</v>
      </c>
      <c r="B40" s="60" t="s">
        <v>458</v>
      </c>
      <c r="C40" s="60" t="s">
        <v>1228</v>
      </c>
      <c r="D40" s="67" t="s">
        <v>169</v>
      </c>
    </row>
    <row r="41" spans="1:4" x14ac:dyDescent="0.2">
      <c r="A41" s="66" t="s">
        <v>165</v>
      </c>
      <c r="B41" s="60" t="s">
        <v>461</v>
      </c>
      <c r="C41" s="60" t="s">
        <v>1229</v>
      </c>
      <c r="D41" s="67" t="s">
        <v>166</v>
      </c>
    </row>
    <row r="42" spans="1:4" x14ac:dyDescent="0.2">
      <c r="A42" s="66" t="s">
        <v>154</v>
      </c>
      <c r="B42" s="60" t="s">
        <v>464</v>
      </c>
      <c r="C42" s="60" t="s">
        <v>1230</v>
      </c>
      <c r="D42" s="67" t="s">
        <v>155</v>
      </c>
    </row>
    <row r="43" spans="1:4" x14ac:dyDescent="0.2">
      <c r="A43" s="66" t="s">
        <v>1417</v>
      </c>
      <c r="B43" s="60" t="s">
        <v>1418</v>
      </c>
      <c r="C43" s="60" t="s">
        <v>1419</v>
      </c>
      <c r="D43" s="67" t="s">
        <v>1420</v>
      </c>
    </row>
    <row r="44" spans="1:4" x14ac:dyDescent="0.2">
      <c r="A44" s="66" t="s">
        <v>1421</v>
      </c>
      <c r="B44" s="60" t="s">
        <v>1422</v>
      </c>
      <c r="C44" s="60" t="s">
        <v>1423</v>
      </c>
      <c r="D44" s="67" t="s">
        <v>1424</v>
      </c>
    </row>
    <row r="45" spans="1:4" x14ac:dyDescent="0.2">
      <c r="A45" s="66" t="s">
        <v>157</v>
      </c>
      <c r="B45" s="60" t="s">
        <v>465</v>
      </c>
      <c r="C45" s="60" t="s">
        <v>1231</v>
      </c>
      <c r="D45" s="67" t="s">
        <v>158</v>
      </c>
    </row>
    <row r="46" spans="1:4" x14ac:dyDescent="0.2">
      <c r="A46" s="66" t="s">
        <v>159</v>
      </c>
      <c r="B46" s="60" t="s">
        <v>470</v>
      </c>
      <c r="C46" s="60" t="s">
        <v>471</v>
      </c>
      <c r="D46" s="67" t="s">
        <v>160</v>
      </c>
    </row>
    <row r="47" spans="1:4" x14ac:dyDescent="0.2">
      <c r="A47" s="66" t="s">
        <v>136</v>
      </c>
      <c r="B47" s="60" t="s">
        <v>474</v>
      </c>
      <c r="C47" s="60" t="s">
        <v>475</v>
      </c>
      <c r="D47" s="67" t="s">
        <v>137</v>
      </c>
    </row>
    <row r="48" spans="1:4" x14ac:dyDescent="0.2">
      <c r="A48" s="66" t="s">
        <v>1425</v>
      </c>
      <c r="B48" s="60" t="s">
        <v>1426</v>
      </c>
      <c r="C48" s="60" t="s">
        <v>1427</v>
      </c>
      <c r="D48" s="67" t="s">
        <v>1428</v>
      </c>
    </row>
    <row r="49" spans="1:4" x14ac:dyDescent="0.2">
      <c r="A49" s="66" t="s">
        <v>81</v>
      </c>
      <c r="B49" s="60" t="s">
        <v>478</v>
      </c>
      <c r="C49" s="60" t="s">
        <v>479</v>
      </c>
      <c r="D49" s="67" t="s">
        <v>82</v>
      </c>
    </row>
    <row r="50" spans="1:4" x14ac:dyDescent="0.2">
      <c r="A50" s="66" t="s">
        <v>188</v>
      </c>
      <c r="B50" s="60" t="s">
        <v>482</v>
      </c>
      <c r="C50" s="60" t="s">
        <v>483</v>
      </c>
      <c r="D50" s="67" t="s">
        <v>189</v>
      </c>
    </row>
    <row r="51" spans="1:4" x14ac:dyDescent="0.2">
      <c r="A51" s="66" t="s">
        <v>1020</v>
      </c>
      <c r="B51" s="60" t="s">
        <v>1021</v>
      </c>
      <c r="C51" s="60" t="s">
        <v>1022</v>
      </c>
      <c r="D51" s="67" t="s">
        <v>1023</v>
      </c>
    </row>
    <row r="52" spans="1:4" x14ac:dyDescent="0.2">
      <c r="A52" s="66" t="s">
        <v>1429</v>
      </c>
      <c r="B52" s="60" t="s">
        <v>1430</v>
      </c>
      <c r="C52" s="60" t="s">
        <v>1431</v>
      </c>
      <c r="D52" s="67" t="s">
        <v>1432</v>
      </c>
    </row>
    <row r="53" spans="1:4" x14ac:dyDescent="0.2">
      <c r="A53" s="66" t="s">
        <v>1266</v>
      </c>
      <c r="B53" s="60" t="s">
        <v>1267</v>
      </c>
      <c r="C53" s="60" t="s">
        <v>1268</v>
      </c>
      <c r="D53" s="67" t="s">
        <v>1269</v>
      </c>
    </row>
    <row r="54" spans="1:4" x14ac:dyDescent="0.2">
      <c r="A54" s="66" t="s">
        <v>1433</v>
      </c>
      <c r="B54" s="60" t="s">
        <v>1434</v>
      </c>
      <c r="C54" s="60" t="s">
        <v>1435</v>
      </c>
      <c r="D54" s="67" t="s">
        <v>120</v>
      </c>
    </row>
    <row r="55" spans="1:4" x14ac:dyDescent="0.2">
      <c r="A55" s="66" t="s">
        <v>1105</v>
      </c>
      <c r="B55" s="60" t="s">
        <v>1106</v>
      </c>
      <c r="C55" s="60" t="s">
        <v>1107</v>
      </c>
      <c r="D55" s="67" t="s">
        <v>1108</v>
      </c>
    </row>
    <row r="56" spans="1:4" x14ac:dyDescent="0.2">
      <c r="A56" s="66" t="s">
        <v>1109</v>
      </c>
      <c r="B56" s="60" t="s">
        <v>1110</v>
      </c>
      <c r="C56" s="60" t="s">
        <v>1110</v>
      </c>
      <c r="D56" s="67" t="s">
        <v>1111</v>
      </c>
    </row>
    <row r="57" spans="1:4" x14ac:dyDescent="0.2">
      <c r="A57" s="66" t="s">
        <v>209</v>
      </c>
      <c r="B57" s="60" t="s">
        <v>486</v>
      </c>
      <c r="C57" s="60" t="s">
        <v>486</v>
      </c>
      <c r="D57" s="67" t="s">
        <v>210</v>
      </c>
    </row>
    <row r="58" spans="1:4" x14ac:dyDescent="0.2">
      <c r="A58" s="66" t="s">
        <v>203</v>
      </c>
      <c r="B58" s="60" t="s">
        <v>487</v>
      </c>
      <c r="C58" s="60" t="s">
        <v>1232</v>
      </c>
      <c r="D58" s="67" t="s">
        <v>204</v>
      </c>
    </row>
    <row r="59" spans="1:4" x14ac:dyDescent="0.2">
      <c r="A59" s="66" t="s">
        <v>1436</v>
      </c>
      <c r="B59" s="60" t="s">
        <v>1437</v>
      </c>
      <c r="C59" s="60" t="s">
        <v>1438</v>
      </c>
      <c r="D59" s="67" t="s">
        <v>1439</v>
      </c>
    </row>
    <row r="60" spans="1:4" x14ac:dyDescent="0.2">
      <c r="A60" s="66" t="s">
        <v>84</v>
      </c>
      <c r="B60" s="60" t="s">
        <v>494</v>
      </c>
      <c r="C60" s="60" t="s">
        <v>495</v>
      </c>
      <c r="D60" s="67" t="s">
        <v>85</v>
      </c>
    </row>
    <row r="61" spans="1:4" x14ac:dyDescent="0.2">
      <c r="A61" s="66" t="s">
        <v>1270</v>
      </c>
      <c r="B61" s="60" t="s">
        <v>1271</v>
      </c>
      <c r="C61" s="60" t="s">
        <v>1272</v>
      </c>
      <c r="D61" s="67" t="s">
        <v>1273</v>
      </c>
    </row>
    <row r="62" spans="1:4" x14ac:dyDescent="0.2">
      <c r="A62" s="66" t="s">
        <v>1440</v>
      </c>
      <c r="B62" s="60" t="s">
        <v>1441</v>
      </c>
      <c r="C62" s="60" t="s">
        <v>1442</v>
      </c>
      <c r="D62" s="67" t="s">
        <v>1443</v>
      </c>
    </row>
    <row r="63" spans="1:4" x14ac:dyDescent="0.2">
      <c r="A63" s="66" t="s">
        <v>1444</v>
      </c>
      <c r="B63" s="60" t="s">
        <v>1445</v>
      </c>
      <c r="C63" s="60" t="s">
        <v>1446</v>
      </c>
      <c r="D63" s="67" t="s">
        <v>1447</v>
      </c>
    </row>
    <row r="64" spans="1:4" x14ac:dyDescent="0.2">
      <c r="A64" s="66" t="s">
        <v>118</v>
      </c>
      <c r="B64" s="60" t="s">
        <v>503</v>
      </c>
      <c r="C64" s="60" t="s">
        <v>1274</v>
      </c>
      <c r="D64" s="67" t="s">
        <v>119</v>
      </c>
    </row>
    <row r="65" spans="1:4" x14ac:dyDescent="0.2">
      <c r="A65" s="66" t="s">
        <v>1448</v>
      </c>
      <c r="B65" s="60" t="s">
        <v>1449</v>
      </c>
      <c r="C65" s="60" t="s">
        <v>1450</v>
      </c>
      <c r="D65" s="67" t="s">
        <v>1451</v>
      </c>
    </row>
    <row r="66" spans="1:4" x14ac:dyDescent="0.2">
      <c r="A66" s="66" t="s">
        <v>130</v>
      </c>
      <c r="B66" s="60" t="s">
        <v>504</v>
      </c>
      <c r="C66" s="60" t="s">
        <v>505</v>
      </c>
      <c r="D66" s="67" t="s">
        <v>131</v>
      </c>
    </row>
    <row r="67" spans="1:4" x14ac:dyDescent="0.2">
      <c r="A67" s="66" t="s">
        <v>87</v>
      </c>
      <c r="B67" s="60" t="s">
        <v>506</v>
      </c>
      <c r="C67" s="60" t="s">
        <v>507</v>
      </c>
      <c r="D67" s="67" t="s">
        <v>88</v>
      </c>
    </row>
    <row r="68" spans="1:4" x14ac:dyDescent="0.2">
      <c r="A68" s="66" t="s">
        <v>121</v>
      </c>
      <c r="B68" s="60" t="s">
        <v>508</v>
      </c>
      <c r="C68" s="60" t="s">
        <v>1233</v>
      </c>
      <c r="D68" s="67" t="s">
        <v>122</v>
      </c>
    </row>
    <row r="69" spans="1:4" x14ac:dyDescent="0.2">
      <c r="A69" s="66" t="s">
        <v>1452</v>
      </c>
      <c r="B69" s="60" t="s">
        <v>1453</v>
      </c>
      <c r="C69" s="60" t="s">
        <v>1454</v>
      </c>
      <c r="D69" s="67" t="s">
        <v>1455</v>
      </c>
    </row>
    <row r="70" spans="1:4" x14ac:dyDescent="0.2">
      <c r="A70" s="66" t="s">
        <v>162</v>
      </c>
      <c r="B70" s="60" t="s">
        <v>510</v>
      </c>
      <c r="C70" s="60" t="s">
        <v>1234</v>
      </c>
      <c r="D70" s="67" t="s">
        <v>163</v>
      </c>
    </row>
    <row r="71" spans="1:4" x14ac:dyDescent="0.2">
      <c r="A71" s="66" t="s">
        <v>142</v>
      </c>
      <c r="B71" s="60" t="s">
        <v>511</v>
      </c>
      <c r="C71" s="60" t="s">
        <v>1235</v>
      </c>
      <c r="D71" s="67" t="s">
        <v>143</v>
      </c>
    </row>
    <row r="72" spans="1:4" x14ac:dyDescent="0.2">
      <c r="A72" s="66" t="s">
        <v>185</v>
      </c>
      <c r="B72" s="60" t="s">
        <v>512</v>
      </c>
      <c r="C72" s="60" t="s">
        <v>1236</v>
      </c>
      <c r="D72" s="67" t="s">
        <v>186</v>
      </c>
    </row>
    <row r="73" spans="1:4" x14ac:dyDescent="0.2">
      <c r="A73" s="66" t="s">
        <v>200</v>
      </c>
      <c r="B73" s="60" t="s">
        <v>513</v>
      </c>
      <c r="C73" s="60" t="s">
        <v>1237</v>
      </c>
      <c r="D73" s="67" t="s">
        <v>201</v>
      </c>
    </row>
    <row r="74" spans="1:4" x14ac:dyDescent="0.2">
      <c r="A74" s="66" t="s">
        <v>115</v>
      </c>
      <c r="B74" s="60" t="s">
        <v>514</v>
      </c>
      <c r="C74" s="60" t="s">
        <v>924</v>
      </c>
      <c r="D74" s="67" t="s">
        <v>116</v>
      </c>
    </row>
    <row r="75" spans="1:4" x14ac:dyDescent="0.2">
      <c r="A75" s="66" t="s">
        <v>1275</v>
      </c>
      <c r="B75" s="60" t="s">
        <v>1276</v>
      </c>
      <c r="C75" s="60" t="s">
        <v>1277</v>
      </c>
      <c r="D75" s="67" t="s">
        <v>1278</v>
      </c>
    </row>
    <row r="76" spans="1:4" x14ac:dyDescent="0.2">
      <c r="A76" s="66" t="s">
        <v>90</v>
      </c>
      <c r="B76" s="60" t="s">
        <v>515</v>
      </c>
      <c r="C76" s="60" t="s">
        <v>516</v>
      </c>
      <c r="D76" s="67" t="s">
        <v>91</v>
      </c>
    </row>
    <row r="77" spans="1:4" x14ac:dyDescent="0.2">
      <c r="A77" s="66" t="s">
        <v>93</v>
      </c>
      <c r="B77" s="60" t="s">
        <v>517</v>
      </c>
      <c r="C77" s="60" t="s">
        <v>518</v>
      </c>
      <c r="D77" s="67" t="s">
        <v>94</v>
      </c>
    </row>
    <row r="78" spans="1:4" x14ac:dyDescent="0.2">
      <c r="A78" s="66" t="s">
        <v>96</v>
      </c>
      <c r="B78" s="60" t="s">
        <v>519</v>
      </c>
      <c r="C78" s="60" t="s">
        <v>926</v>
      </c>
      <c r="D78" s="67" t="s">
        <v>97</v>
      </c>
    </row>
    <row r="79" spans="1:4" x14ac:dyDescent="0.2">
      <c r="A79" s="66" t="s">
        <v>197</v>
      </c>
      <c r="B79" s="60" t="s">
        <v>522</v>
      </c>
      <c r="C79" s="60" t="s">
        <v>929</v>
      </c>
      <c r="D79" s="67" t="s">
        <v>198</v>
      </c>
    </row>
    <row r="80" spans="1:4" x14ac:dyDescent="0.2">
      <c r="A80" s="66" t="s">
        <v>98</v>
      </c>
      <c r="B80" s="60" t="s">
        <v>523</v>
      </c>
      <c r="C80" s="60" t="s">
        <v>1238</v>
      </c>
      <c r="D80" s="67" t="s">
        <v>99</v>
      </c>
    </row>
    <row r="81" spans="1:4" x14ac:dyDescent="0.2">
      <c r="A81" s="66" t="s">
        <v>1456</v>
      </c>
      <c r="B81" s="60" t="s">
        <v>1457</v>
      </c>
      <c r="C81" s="60" t="s">
        <v>1458</v>
      </c>
      <c r="D81" s="67" t="s">
        <v>1459</v>
      </c>
    </row>
    <row r="82" spans="1:4" x14ac:dyDescent="0.2">
      <c r="A82" s="66" t="s">
        <v>113</v>
      </c>
      <c r="B82" s="60" t="s">
        <v>1460</v>
      </c>
      <c r="C82" s="60" t="s">
        <v>930</v>
      </c>
      <c r="D82" s="67" t="s">
        <v>1461</v>
      </c>
    </row>
    <row r="83" spans="1:4" x14ac:dyDescent="0.2">
      <c r="A83" s="66" t="s">
        <v>213</v>
      </c>
      <c r="B83" s="60" t="s">
        <v>524</v>
      </c>
      <c r="C83" s="60" t="s">
        <v>524</v>
      </c>
      <c r="D83" s="67" t="s">
        <v>214</v>
      </c>
    </row>
    <row r="84" spans="1:4" x14ac:dyDescent="0.2">
      <c r="A84" s="66" t="s">
        <v>1462</v>
      </c>
      <c r="B84" s="60" t="s">
        <v>1463</v>
      </c>
      <c r="C84" s="60" t="s">
        <v>1463</v>
      </c>
      <c r="D84" s="67" t="s">
        <v>1464</v>
      </c>
    </row>
    <row r="85" spans="1:4" x14ac:dyDescent="0.2">
      <c r="A85" s="66" t="s">
        <v>1368</v>
      </c>
      <c r="B85" s="60" t="s">
        <v>1465</v>
      </c>
      <c r="C85" s="60" t="s">
        <v>1465</v>
      </c>
      <c r="D85" s="67" t="s">
        <v>1369</v>
      </c>
    </row>
    <row r="86" spans="1:4" x14ac:dyDescent="0.2">
      <c r="A86" s="66" t="s">
        <v>216</v>
      </c>
      <c r="B86" s="60" t="s">
        <v>1466</v>
      </c>
      <c r="C86" s="60" t="s">
        <v>1466</v>
      </c>
      <c r="D86" s="67" t="s">
        <v>217</v>
      </c>
    </row>
    <row r="87" spans="1:4" x14ac:dyDescent="0.2">
      <c r="A87" s="66" t="s">
        <v>1467</v>
      </c>
      <c r="B87" s="60" t="s">
        <v>1468</v>
      </c>
      <c r="C87" s="60" t="s">
        <v>1469</v>
      </c>
      <c r="D87" s="67" t="s">
        <v>1470</v>
      </c>
    </row>
    <row r="88" spans="1:4" x14ac:dyDescent="0.2">
      <c r="A88" s="66" t="s">
        <v>1279</v>
      </c>
      <c r="B88" s="60" t="s">
        <v>1280</v>
      </c>
      <c r="C88" s="60" t="s">
        <v>1281</v>
      </c>
      <c r="D88" s="67" t="s">
        <v>953</v>
      </c>
    </row>
    <row r="89" spans="1:4" x14ac:dyDescent="0.2">
      <c r="A89" s="66" t="s">
        <v>206</v>
      </c>
      <c r="B89" s="60" t="s">
        <v>531</v>
      </c>
      <c r="C89" s="60" t="s">
        <v>532</v>
      </c>
      <c r="D89" s="67" t="s">
        <v>207</v>
      </c>
    </row>
    <row r="90" spans="1:4" x14ac:dyDescent="0.2">
      <c r="A90" s="66" t="s">
        <v>151</v>
      </c>
      <c r="B90" s="60" t="s">
        <v>533</v>
      </c>
      <c r="C90" s="60" t="s">
        <v>534</v>
      </c>
      <c r="D90" s="67" t="s">
        <v>152</v>
      </c>
    </row>
    <row r="91" spans="1:4" x14ac:dyDescent="0.2">
      <c r="A91" s="66" t="s">
        <v>177</v>
      </c>
      <c r="B91" s="60" t="s">
        <v>539</v>
      </c>
      <c r="C91" s="60" t="s">
        <v>1239</v>
      </c>
      <c r="D91" s="67" t="s">
        <v>178</v>
      </c>
    </row>
    <row r="92" spans="1:4" x14ac:dyDescent="0.2">
      <c r="A92" s="66" t="s">
        <v>101</v>
      </c>
      <c r="B92" s="60" t="s">
        <v>540</v>
      </c>
      <c r="C92" s="60" t="s">
        <v>541</v>
      </c>
      <c r="D92" s="67" t="s">
        <v>102</v>
      </c>
    </row>
    <row r="93" spans="1:4" x14ac:dyDescent="0.2">
      <c r="A93" s="66" t="s">
        <v>174</v>
      </c>
      <c r="B93" s="60" t="s">
        <v>542</v>
      </c>
      <c r="C93" s="60" t="s">
        <v>927</v>
      </c>
      <c r="D93" s="67" t="s">
        <v>175</v>
      </c>
    </row>
    <row r="94" spans="1:4" x14ac:dyDescent="0.2">
      <c r="A94" s="66" t="s">
        <v>1039</v>
      </c>
      <c r="B94" s="60" t="s">
        <v>1040</v>
      </c>
      <c r="C94" s="60" t="s">
        <v>1041</v>
      </c>
      <c r="D94" s="67" t="s">
        <v>1042</v>
      </c>
    </row>
    <row r="95" spans="1:4" x14ac:dyDescent="0.2">
      <c r="A95" s="66" t="s">
        <v>104</v>
      </c>
      <c r="B95" s="60" t="s">
        <v>545</v>
      </c>
      <c r="C95" s="60" t="s">
        <v>546</v>
      </c>
      <c r="D95" s="67" t="s">
        <v>105</v>
      </c>
    </row>
    <row r="96" spans="1:4" x14ac:dyDescent="0.2">
      <c r="A96" s="66" t="s">
        <v>171</v>
      </c>
      <c r="B96" s="60" t="s">
        <v>547</v>
      </c>
      <c r="C96" s="60" t="s">
        <v>548</v>
      </c>
      <c r="D96" s="67" t="s">
        <v>172</v>
      </c>
    </row>
    <row r="97" spans="1:4" x14ac:dyDescent="0.2">
      <c r="A97" s="66" t="s">
        <v>191</v>
      </c>
      <c r="B97" s="60" t="s">
        <v>551</v>
      </c>
      <c r="C97" s="60" t="s">
        <v>928</v>
      </c>
      <c r="D97" s="67" t="s">
        <v>192</v>
      </c>
    </row>
    <row r="98" spans="1:4" x14ac:dyDescent="0.2">
      <c r="A98" s="66" t="s">
        <v>1471</v>
      </c>
      <c r="B98" s="60" t="s">
        <v>1472</v>
      </c>
      <c r="C98" s="60" t="s">
        <v>1473</v>
      </c>
      <c r="D98" s="67" t="s">
        <v>1474</v>
      </c>
    </row>
    <row r="99" spans="1:4" x14ac:dyDescent="0.2">
      <c r="A99" s="66" t="s">
        <v>1475</v>
      </c>
      <c r="B99" s="60" t="s">
        <v>1476</v>
      </c>
      <c r="C99" s="60" t="s">
        <v>1477</v>
      </c>
      <c r="D99" s="67" t="s">
        <v>1478</v>
      </c>
    </row>
    <row r="100" spans="1:4" x14ac:dyDescent="0.2">
      <c r="A100" s="66" t="s">
        <v>107</v>
      </c>
      <c r="B100" s="60" t="s">
        <v>557</v>
      </c>
      <c r="C100" s="60" t="s">
        <v>558</v>
      </c>
      <c r="D100" s="67" t="s">
        <v>108</v>
      </c>
    </row>
    <row r="101" spans="1:4" x14ac:dyDescent="0.2">
      <c r="A101" s="66" t="s">
        <v>1047</v>
      </c>
      <c r="B101" s="60" t="s">
        <v>1048</v>
      </c>
      <c r="C101" s="60" t="s">
        <v>1049</v>
      </c>
      <c r="D101" s="67" t="s">
        <v>1050</v>
      </c>
    </row>
    <row r="102" spans="1:4" x14ac:dyDescent="0.2">
      <c r="A102" s="66" t="s">
        <v>1112</v>
      </c>
      <c r="B102" s="60" t="s">
        <v>1113</v>
      </c>
      <c r="C102" s="60" t="s">
        <v>1114</v>
      </c>
      <c r="D102" s="67" t="s">
        <v>1111</v>
      </c>
    </row>
    <row r="103" spans="1:4" x14ac:dyDescent="0.2">
      <c r="A103" s="66" t="s">
        <v>1479</v>
      </c>
      <c r="B103" s="60" t="s">
        <v>1480</v>
      </c>
      <c r="C103" s="60" t="s">
        <v>1481</v>
      </c>
      <c r="D103" s="67" t="s">
        <v>1482</v>
      </c>
    </row>
    <row r="104" spans="1:4" x14ac:dyDescent="0.2">
      <c r="A104" s="66" t="s">
        <v>110</v>
      </c>
      <c r="B104" s="60" t="s">
        <v>560</v>
      </c>
      <c r="C104" s="60" t="s">
        <v>1240</v>
      </c>
      <c r="D104" s="67" t="s">
        <v>111</v>
      </c>
    </row>
    <row r="105" spans="1:4" x14ac:dyDescent="0.2">
      <c r="A105" s="66" t="s">
        <v>1095</v>
      </c>
      <c r="B105" s="60" t="s">
        <v>1096</v>
      </c>
      <c r="C105" s="60" t="s">
        <v>1097</v>
      </c>
      <c r="D105" s="67" t="s">
        <v>1098</v>
      </c>
    </row>
    <row r="106" spans="1:4" x14ac:dyDescent="0.2">
      <c r="A106" s="66" t="s">
        <v>1069</v>
      </c>
      <c r="B106" s="60" t="s">
        <v>1070</v>
      </c>
      <c r="C106" s="60" t="s">
        <v>1070</v>
      </c>
      <c r="D106" s="67" t="s">
        <v>1071</v>
      </c>
    </row>
    <row r="107" spans="1:4" x14ac:dyDescent="0.2">
      <c r="A107" s="66" t="s">
        <v>1055</v>
      </c>
      <c r="B107" s="60" t="s">
        <v>1056</v>
      </c>
      <c r="C107" s="60" t="s">
        <v>1241</v>
      </c>
      <c r="D107" s="67" t="s">
        <v>1057</v>
      </c>
    </row>
    <row r="108" spans="1:4" x14ac:dyDescent="0.2">
      <c r="A108" s="66" t="s">
        <v>242</v>
      </c>
      <c r="B108" s="60" t="s">
        <v>422</v>
      </c>
      <c r="C108" s="60" t="s">
        <v>423</v>
      </c>
      <c r="D108" s="67" t="s">
        <v>243</v>
      </c>
    </row>
    <row r="109" spans="1:4" x14ac:dyDescent="0.2">
      <c r="A109" s="66" t="s">
        <v>1072</v>
      </c>
      <c r="B109" s="60" t="s">
        <v>1073</v>
      </c>
      <c r="C109" s="60" t="s">
        <v>1074</v>
      </c>
      <c r="D109" s="67" t="s">
        <v>1075</v>
      </c>
    </row>
    <row r="110" spans="1:4" x14ac:dyDescent="0.2">
      <c r="A110" s="66" t="s">
        <v>1397</v>
      </c>
      <c r="B110" s="60" t="s">
        <v>1398</v>
      </c>
      <c r="C110" s="60" t="s">
        <v>1399</v>
      </c>
      <c r="D110" s="67" t="s">
        <v>1400</v>
      </c>
    </row>
    <row r="111" spans="1:4" x14ac:dyDescent="0.2">
      <c r="A111" s="66" t="s">
        <v>1483</v>
      </c>
      <c r="B111" s="60" t="s">
        <v>1484</v>
      </c>
      <c r="C111" s="60" t="s">
        <v>1485</v>
      </c>
      <c r="D111" s="67" t="s">
        <v>1486</v>
      </c>
    </row>
    <row r="112" spans="1:4" x14ac:dyDescent="0.2">
      <c r="A112" s="66" t="s">
        <v>1008</v>
      </c>
      <c r="B112" s="60" t="s">
        <v>1009</v>
      </c>
      <c r="C112" s="60" t="s">
        <v>1010</v>
      </c>
      <c r="D112" s="67" t="s">
        <v>1011</v>
      </c>
    </row>
    <row r="113" spans="1:4" x14ac:dyDescent="0.2">
      <c r="A113" s="66" t="s">
        <v>1282</v>
      </c>
      <c r="B113" s="60" t="s">
        <v>1283</v>
      </c>
      <c r="C113" s="60" t="s">
        <v>1284</v>
      </c>
      <c r="D113" s="67" t="s">
        <v>1285</v>
      </c>
    </row>
    <row r="114" spans="1:4" x14ac:dyDescent="0.2">
      <c r="A114" s="66" t="s">
        <v>219</v>
      </c>
      <c r="B114" s="60" t="s">
        <v>426</v>
      </c>
      <c r="C114" s="60" t="s">
        <v>427</v>
      </c>
      <c r="D114" s="67" t="s">
        <v>220</v>
      </c>
    </row>
    <row r="115" spans="1:4" x14ac:dyDescent="0.2">
      <c r="A115" s="66" t="s">
        <v>1012</v>
      </c>
      <c r="B115" s="60" t="s">
        <v>1013</v>
      </c>
      <c r="C115" s="60" t="s">
        <v>1014</v>
      </c>
      <c r="D115" s="67" t="s">
        <v>1015</v>
      </c>
    </row>
    <row r="116" spans="1:4" x14ac:dyDescent="0.2">
      <c r="A116" s="66" t="s">
        <v>280</v>
      </c>
      <c r="B116" s="60" t="s">
        <v>430</v>
      </c>
      <c r="C116" s="60" t="s">
        <v>978</v>
      </c>
      <c r="D116" s="67" t="s">
        <v>281</v>
      </c>
    </row>
    <row r="117" spans="1:4" x14ac:dyDescent="0.2">
      <c r="A117" s="66" t="s">
        <v>1370</v>
      </c>
      <c r="B117" s="60" t="s">
        <v>1371</v>
      </c>
      <c r="C117" s="60" t="s">
        <v>1372</v>
      </c>
      <c r="D117" s="67" t="s">
        <v>1373</v>
      </c>
    </row>
    <row r="118" spans="1:4" x14ac:dyDescent="0.2">
      <c r="A118" s="66" t="s">
        <v>1487</v>
      </c>
      <c r="B118" s="60" t="s">
        <v>1488</v>
      </c>
      <c r="C118" s="60" t="s">
        <v>1489</v>
      </c>
      <c r="D118" s="67" t="s">
        <v>1490</v>
      </c>
    </row>
    <row r="119" spans="1:4" x14ac:dyDescent="0.2">
      <c r="A119" s="66" t="s">
        <v>1491</v>
      </c>
      <c r="B119" s="60" t="s">
        <v>1492</v>
      </c>
      <c r="C119" s="60" t="s">
        <v>1492</v>
      </c>
      <c r="D119" s="67" t="s">
        <v>1493</v>
      </c>
    </row>
    <row r="120" spans="1:4" x14ac:dyDescent="0.2">
      <c r="A120" s="66" t="s">
        <v>1494</v>
      </c>
      <c r="B120" s="60" t="s">
        <v>1495</v>
      </c>
      <c r="C120" s="60" t="s">
        <v>1496</v>
      </c>
      <c r="D120" s="67" t="s">
        <v>1497</v>
      </c>
    </row>
    <row r="121" spans="1:4" x14ac:dyDescent="0.2">
      <c r="A121" s="66" t="s">
        <v>265</v>
      </c>
      <c r="B121" s="60" t="s">
        <v>437</v>
      </c>
      <c r="C121" s="60" t="s">
        <v>979</v>
      </c>
      <c r="D121" s="67" t="s">
        <v>266</v>
      </c>
    </row>
    <row r="122" spans="1:4" x14ac:dyDescent="0.2">
      <c r="A122" s="66" t="s">
        <v>1286</v>
      </c>
      <c r="B122" s="60" t="s">
        <v>1287</v>
      </c>
      <c r="C122" s="60" t="s">
        <v>1288</v>
      </c>
      <c r="D122" s="67" t="s">
        <v>1289</v>
      </c>
    </row>
    <row r="123" spans="1:4" x14ac:dyDescent="0.2">
      <c r="A123" s="66" t="s">
        <v>1498</v>
      </c>
      <c r="B123" s="60" t="s">
        <v>1499</v>
      </c>
      <c r="C123" s="60" t="s">
        <v>1500</v>
      </c>
      <c r="D123" s="67" t="s">
        <v>1501</v>
      </c>
    </row>
    <row r="124" spans="1:4" x14ac:dyDescent="0.2">
      <c r="A124" s="66" t="s">
        <v>1290</v>
      </c>
      <c r="B124" s="60" t="s">
        <v>1291</v>
      </c>
      <c r="C124" s="60" t="s">
        <v>1292</v>
      </c>
      <c r="D124" s="67" t="s">
        <v>1293</v>
      </c>
    </row>
    <row r="125" spans="1:4" x14ac:dyDescent="0.2">
      <c r="A125" s="66" t="s">
        <v>230</v>
      </c>
      <c r="B125" s="60" t="s">
        <v>443</v>
      </c>
      <c r="C125" s="60" t="s">
        <v>444</v>
      </c>
      <c r="D125" s="67" t="s">
        <v>231</v>
      </c>
    </row>
    <row r="126" spans="1:4" x14ac:dyDescent="0.2">
      <c r="A126" s="66" t="s">
        <v>1294</v>
      </c>
      <c r="B126" s="60" t="s">
        <v>1295</v>
      </c>
      <c r="C126" s="60" t="s">
        <v>1296</v>
      </c>
      <c r="D126" s="67" t="s">
        <v>1297</v>
      </c>
    </row>
    <row r="127" spans="1:4" x14ac:dyDescent="0.2">
      <c r="A127" s="66" t="s">
        <v>268</v>
      </c>
      <c r="B127" s="60" t="s">
        <v>459</v>
      </c>
      <c r="C127" s="60" t="s">
        <v>460</v>
      </c>
      <c r="D127" s="67" t="s">
        <v>269</v>
      </c>
    </row>
    <row r="128" spans="1:4" x14ac:dyDescent="0.2">
      <c r="A128" s="66" t="s">
        <v>1298</v>
      </c>
      <c r="B128" s="60" t="s">
        <v>1299</v>
      </c>
      <c r="C128" s="60" t="s">
        <v>1300</v>
      </c>
      <c r="D128" s="67" t="s">
        <v>1301</v>
      </c>
    </row>
    <row r="129" spans="1:4" x14ac:dyDescent="0.2">
      <c r="A129" s="66" t="s">
        <v>1502</v>
      </c>
      <c r="B129" s="60" t="s">
        <v>1503</v>
      </c>
      <c r="C129" s="60" t="s">
        <v>1504</v>
      </c>
      <c r="D129" s="67" t="s">
        <v>1505</v>
      </c>
    </row>
    <row r="130" spans="1:4" x14ac:dyDescent="0.2">
      <c r="A130" s="66" t="s">
        <v>1506</v>
      </c>
      <c r="B130" s="60" t="s">
        <v>1507</v>
      </c>
      <c r="C130" s="60" t="s">
        <v>1508</v>
      </c>
      <c r="D130" s="67" t="s">
        <v>1509</v>
      </c>
    </row>
    <row r="131" spans="1:4" x14ac:dyDescent="0.2">
      <c r="A131" s="66" t="s">
        <v>1510</v>
      </c>
      <c r="B131" s="60" t="s">
        <v>1511</v>
      </c>
      <c r="C131" s="60" t="s">
        <v>1512</v>
      </c>
      <c r="D131" s="67" t="s">
        <v>1513</v>
      </c>
    </row>
    <row r="132" spans="1:4" x14ac:dyDescent="0.2">
      <c r="A132" s="66" t="s">
        <v>1058</v>
      </c>
      <c r="B132" s="60" t="s">
        <v>1059</v>
      </c>
      <c r="C132" s="60" t="s">
        <v>1242</v>
      </c>
      <c r="D132" s="67" t="s">
        <v>1060</v>
      </c>
    </row>
    <row r="133" spans="1:4" x14ac:dyDescent="0.2">
      <c r="A133" s="66" t="s">
        <v>1302</v>
      </c>
      <c r="B133" s="60" t="s">
        <v>1303</v>
      </c>
      <c r="C133" s="60" t="s">
        <v>1304</v>
      </c>
      <c r="D133" s="67" t="s">
        <v>1305</v>
      </c>
    </row>
    <row r="134" spans="1:4" x14ac:dyDescent="0.2">
      <c r="A134" s="66" t="s">
        <v>239</v>
      </c>
      <c r="B134" s="60" t="s">
        <v>466</v>
      </c>
      <c r="C134" s="60" t="s">
        <v>467</v>
      </c>
      <c r="D134" s="67" t="s">
        <v>240</v>
      </c>
    </row>
    <row r="135" spans="1:4" x14ac:dyDescent="0.2">
      <c r="A135" s="66" t="s">
        <v>1061</v>
      </c>
      <c r="B135" s="60" t="s">
        <v>1062</v>
      </c>
      <c r="C135" s="60" t="s">
        <v>1063</v>
      </c>
      <c r="D135" s="67" t="s">
        <v>1064</v>
      </c>
    </row>
    <row r="136" spans="1:4" x14ac:dyDescent="0.2">
      <c r="A136" s="66" t="s">
        <v>1514</v>
      </c>
      <c r="B136" s="60" t="s">
        <v>1515</v>
      </c>
      <c r="C136" s="60" t="s">
        <v>1516</v>
      </c>
      <c r="D136" s="67" t="s">
        <v>1405</v>
      </c>
    </row>
    <row r="137" spans="1:4" x14ac:dyDescent="0.2">
      <c r="A137" s="66" t="s">
        <v>233</v>
      </c>
      <c r="B137" s="60" t="s">
        <v>468</v>
      </c>
      <c r="C137" s="60" t="s">
        <v>469</v>
      </c>
      <c r="D137" s="67" t="s">
        <v>234</v>
      </c>
    </row>
    <row r="138" spans="1:4" x14ac:dyDescent="0.2">
      <c r="A138" s="66" t="s">
        <v>236</v>
      </c>
      <c r="B138" s="60" t="s">
        <v>472</v>
      </c>
      <c r="C138" s="60" t="s">
        <v>473</v>
      </c>
      <c r="D138" s="67" t="s">
        <v>237</v>
      </c>
    </row>
    <row r="139" spans="1:4" x14ac:dyDescent="0.2">
      <c r="A139" s="66" t="s">
        <v>1387</v>
      </c>
      <c r="B139" s="60" t="s">
        <v>1517</v>
      </c>
      <c r="C139" s="60" t="s">
        <v>1518</v>
      </c>
      <c r="D139" s="67" t="s">
        <v>1388</v>
      </c>
    </row>
    <row r="140" spans="1:4" x14ac:dyDescent="0.2">
      <c r="A140" s="66" t="s">
        <v>1076</v>
      </c>
      <c r="B140" s="60" t="s">
        <v>1077</v>
      </c>
      <c r="C140" s="60" t="s">
        <v>1078</v>
      </c>
      <c r="D140" s="67" t="s">
        <v>1079</v>
      </c>
    </row>
    <row r="141" spans="1:4" x14ac:dyDescent="0.2">
      <c r="A141" s="66" t="s">
        <v>1374</v>
      </c>
      <c r="B141" s="60" t="s">
        <v>1375</v>
      </c>
      <c r="C141" s="60" t="s">
        <v>1376</v>
      </c>
      <c r="D141" s="67" t="s">
        <v>1377</v>
      </c>
    </row>
    <row r="142" spans="1:4" x14ac:dyDescent="0.2">
      <c r="A142" s="66" t="s">
        <v>1519</v>
      </c>
      <c r="B142" s="60" t="s">
        <v>1520</v>
      </c>
      <c r="C142" s="60" t="s">
        <v>1521</v>
      </c>
      <c r="D142" s="67" t="s">
        <v>1522</v>
      </c>
    </row>
    <row r="143" spans="1:4" x14ac:dyDescent="0.2">
      <c r="A143" s="66" t="s">
        <v>224</v>
      </c>
      <c r="B143" s="60" t="s">
        <v>476</v>
      </c>
      <c r="C143" s="60" t="s">
        <v>477</v>
      </c>
      <c r="D143" s="67" t="s">
        <v>225</v>
      </c>
    </row>
    <row r="144" spans="1:4" x14ac:dyDescent="0.2">
      <c r="A144" s="66" t="s">
        <v>1389</v>
      </c>
      <c r="B144" s="60" t="s">
        <v>1390</v>
      </c>
      <c r="C144" s="60" t="s">
        <v>1391</v>
      </c>
      <c r="D144" s="67" t="s">
        <v>1392</v>
      </c>
    </row>
    <row r="145" spans="1:4" x14ac:dyDescent="0.2">
      <c r="A145" s="66" t="s">
        <v>1306</v>
      </c>
      <c r="B145" s="60" t="s">
        <v>1307</v>
      </c>
      <c r="C145" s="60" t="s">
        <v>1308</v>
      </c>
      <c r="D145" s="67" t="s">
        <v>1309</v>
      </c>
    </row>
    <row r="146" spans="1:4" x14ac:dyDescent="0.2">
      <c r="A146" s="66" t="s">
        <v>1310</v>
      </c>
      <c r="B146" s="60" t="s">
        <v>1311</v>
      </c>
      <c r="C146" s="60" t="s">
        <v>1312</v>
      </c>
      <c r="D146" s="67" t="s">
        <v>1313</v>
      </c>
    </row>
    <row r="147" spans="1:4" x14ac:dyDescent="0.2">
      <c r="A147" s="66" t="s">
        <v>1523</v>
      </c>
      <c r="B147" s="60" t="s">
        <v>1524</v>
      </c>
      <c r="C147" s="60" t="s">
        <v>1525</v>
      </c>
      <c r="D147" s="67" t="s">
        <v>1526</v>
      </c>
    </row>
    <row r="148" spans="1:4" x14ac:dyDescent="0.2">
      <c r="A148" s="66" t="s">
        <v>1527</v>
      </c>
      <c r="B148" s="60" t="s">
        <v>1528</v>
      </c>
      <c r="C148" s="60" t="s">
        <v>1529</v>
      </c>
      <c r="D148" s="67" t="s">
        <v>1530</v>
      </c>
    </row>
    <row r="149" spans="1:4" x14ac:dyDescent="0.2">
      <c r="A149" s="66" t="s">
        <v>1531</v>
      </c>
      <c r="B149" s="60" t="s">
        <v>1532</v>
      </c>
      <c r="C149" s="60" t="s">
        <v>1533</v>
      </c>
      <c r="D149" s="67" t="s">
        <v>1534</v>
      </c>
    </row>
    <row r="150" spans="1:4" x14ac:dyDescent="0.2">
      <c r="A150" s="66" t="s">
        <v>247</v>
      </c>
      <c r="B150" s="60" t="s">
        <v>488</v>
      </c>
      <c r="C150" s="60" t="s">
        <v>489</v>
      </c>
      <c r="D150" s="67" t="s">
        <v>248</v>
      </c>
    </row>
    <row r="151" spans="1:4" x14ac:dyDescent="0.2">
      <c r="A151" s="66" t="s">
        <v>250</v>
      </c>
      <c r="B151" s="60" t="s">
        <v>492</v>
      </c>
      <c r="C151" s="60" t="s">
        <v>980</v>
      </c>
      <c r="D151" s="67" t="s">
        <v>251</v>
      </c>
    </row>
    <row r="152" spans="1:4" x14ac:dyDescent="0.2">
      <c r="A152" s="66" t="s">
        <v>259</v>
      </c>
      <c r="B152" s="60" t="s">
        <v>493</v>
      </c>
      <c r="C152" s="60" t="s">
        <v>493</v>
      </c>
      <c r="D152" s="67" t="s">
        <v>260</v>
      </c>
    </row>
    <row r="153" spans="1:4" x14ac:dyDescent="0.2">
      <c r="A153" s="66" t="s">
        <v>1314</v>
      </c>
      <c r="B153" s="60" t="s">
        <v>1315</v>
      </c>
      <c r="C153" s="60" t="s">
        <v>1316</v>
      </c>
      <c r="D153" s="67" t="s">
        <v>225</v>
      </c>
    </row>
    <row r="154" spans="1:4" x14ac:dyDescent="0.2">
      <c r="A154" s="66" t="s">
        <v>1080</v>
      </c>
      <c r="B154" s="60" t="s">
        <v>1081</v>
      </c>
      <c r="C154" s="60" t="s">
        <v>1082</v>
      </c>
      <c r="D154" s="67" t="s">
        <v>1083</v>
      </c>
    </row>
    <row r="155" spans="1:4" x14ac:dyDescent="0.2">
      <c r="A155" s="66" t="s">
        <v>1065</v>
      </c>
      <c r="B155" s="60" t="s">
        <v>1066</v>
      </c>
      <c r="C155" s="60" t="s">
        <v>1067</v>
      </c>
      <c r="D155" s="67" t="s">
        <v>1068</v>
      </c>
    </row>
    <row r="156" spans="1:4" x14ac:dyDescent="0.2">
      <c r="A156" s="66" t="s">
        <v>1317</v>
      </c>
      <c r="B156" s="60" t="s">
        <v>1318</v>
      </c>
      <c r="C156" s="60" t="s">
        <v>1319</v>
      </c>
      <c r="D156" s="67" t="s">
        <v>1320</v>
      </c>
    </row>
    <row r="157" spans="1:4" x14ac:dyDescent="0.2">
      <c r="A157" s="66" t="s">
        <v>227</v>
      </c>
      <c r="B157" s="60" t="s">
        <v>498</v>
      </c>
      <c r="C157" s="60" t="s">
        <v>499</v>
      </c>
      <c r="D157" s="67" t="s">
        <v>228</v>
      </c>
    </row>
    <row r="158" spans="1:4" x14ac:dyDescent="0.2">
      <c r="A158" s="66" t="s">
        <v>1535</v>
      </c>
      <c r="B158" s="60" t="s">
        <v>1536</v>
      </c>
      <c r="C158" s="60" t="s">
        <v>1537</v>
      </c>
      <c r="D158" s="67" t="s">
        <v>1538</v>
      </c>
    </row>
    <row r="159" spans="1:4" x14ac:dyDescent="0.2">
      <c r="A159" s="66" t="s">
        <v>1539</v>
      </c>
      <c r="B159" s="60" t="s">
        <v>1540</v>
      </c>
      <c r="C159" s="60" t="s">
        <v>1541</v>
      </c>
      <c r="D159" s="67" t="s">
        <v>1542</v>
      </c>
    </row>
    <row r="160" spans="1:4" x14ac:dyDescent="0.2">
      <c r="A160" s="66" t="s">
        <v>1543</v>
      </c>
      <c r="B160" s="60" t="s">
        <v>1544</v>
      </c>
      <c r="C160" s="60" t="s">
        <v>1545</v>
      </c>
      <c r="D160" s="67" t="s">
        <v>1546</v>
      </c>
    </row>
    <row r="161" spans="1:4" x14ac:dyDescent="0.2">
      <c r="A161" s="66" t="s">
        <v>1547</v>
      </c>
      <c r="B161" s="60" t="s">
        <v>1548</v>
      </c>
      <c r="C161" s="60" t="s">
        <v>1549</v>
      </c>
      <c r="D161" s="67" t="s">
        <v>1550</v>
      </c>
    </row>
    <row r="162" spans="1:4" x14ac:dyDescent="0.2">
      <c r="A162" s="66" t="s">
        <v>1024</v>
      </c>
      <c r="B162" s="60" t="s">
        <v>1025</v>
      </c>
      <c r="C162" s="60" t="s">
        <v>1026</v>
      </c>
      <c r="D162" s="67" t="s">
        <v>1027</v>
      </c>
    </row>
    <row r="163" spans="1:4" x14ac:dyDescent="0.2">
      <c r="A163" s="66" t="s">
        <v>1084</v>
      </c>
      <c r="B163" s="60" t="s">
        <v>1085</v>
      </c>
      <c r="C163" s="60" t="s">
        <v>1086</v>
      </c>
      <c r="D163" s="67" t="s">
        <v>1087</v>
      </c>
    </row>
    <row r="164" spans="1:4" x14ac:dyDescent="0.2">
      <c r="A164" s="66" t="s">
        <v>1088</v>
      </c>
      <c r="B164" s="60" t="s">
        <v>1089</v>
      </c>
      <c r="C164" s="60" t="s">
        <v>1089</v>
      </c>
      <c r="D164" s="67" t="s">
        <v>1090</v>
      </c>
    </row>
    <row r="165" spans="1:4" x14ac:dyDescent="0.2">
      <c r="A165" s="66" t="s">
        <v>1551</v>
      </c>
      <c r="B165" s="60" t="s">
        <v>1552</v>
      </c>
      <c r="C165" s="60" t="s">
        <v>1552</v>
      </c>
      <c r="D165" s="67" t="s">
        <v>1553</v>
      </c>
    </row>
    <row r="166" spans="1:4" x14ac:dyDescent="0.2">
      <c r="A166" s="66" t="s">
        <v>1028</v>
      </c>
      <c r="B166" s="60" t="s">
        <v>1321</v>
      </c>
      <c r="C166" s="60" t="s">
        <v>1029</v>
      </c>
      <c r="D166" s="67" t="s">
        <v>1030</v>
      </c>
    </row>
    <row r="167" spans="1:4" x14ac:dyDescent="0.2">
      <c r="A167" s="66" t="s">
        <v>1322</v>
      </c>
      <c r="B167" s="60" t="s">
        <v>1323</v>
      </c>
      <c r="C167" s="60" t="s">
        <v>1324</v>
      </c>
      <c r="D167" s="67" t="s">
        <v>1325</v>
      </c>
    </row>
    <row r="168" spans="1:4" x14ac:dyDescent="0.2">
      <c r="A168" s="66" t="s">
        <v>256</v>
      </c>
      <c r="B168" s="60" t="s">
        <v>509</v>
      </c>
      <c r="C168" s="60" t="s">
        <v>981</v>
      </c>
      <c r="D168" s="67" t="s">
        <v>257</v>
      </c>
    </row>
    <row r="169" spans="1:4" x14ac:dyDescent="0.2">
      <c r="A169" s="66" t="s">
        <v>1554</v>
      </c>
      <c r="B169" s="60" t="s">
        <v>1555</v>
      </c>
      <c r="C169" s="60" t="s">
        <v>1556</v>
      </c>
      <c r="D169" s="67" t="s">
        <v>1557</v>
      </c>
    </row>
    <row r="170" spans="1:4" x14ac:dyDescent="0.2">
      <c r="A170" s="66" t="s">
        <v>1558</v>
      </c>
      <c r="B170" s="60" t="s">
        <v>1559</v>
      </c>
      <c r="C170" s="60" t="s">
        <v>1560</v>
      </c>
      <c r="D170" s="67" t="s">
        <v>1561</v>
      </c>
    </row>
    <row r="171" spans="1:4" x14ac:dyDescent="0.2">
      <c r="A171" s="66" t="s">
        <v>1326</v>
      </c>
      <c r="B171" s="60" t="s">
        <v>1327</v>
      </c>
      <c r="C171" s="60" t="s">
        <v>1328</v>
      </c>
      <c r="D171" s="67" t="s">
        <v>1329</v>
      </c>
    </row>
    <row r="172" spans="1:4" x14ac:dyDescent="0.2">
      <c r="A172" s="66" t="s">
        <v>1031</v>
      </c>
      <c r="B172" s="60" t="s">
        <v>1032</v>
      </c>
      <c r="C172" s="60" t="s">
        <v>1033</v>
      </c>
      <c r="D172" s="67" t="s">
        <v>1034</v>
      </c>
    </row>
    <row r="173" spans="1:4" x14ac:dyDescent="0.2">
      <c r="A173" s="66" t="s">
        <v>1401</v>
      </c>
      <c r="B173" s="60" t="s">
        <v>1402</v>
      </c>
      <c r="C173" s="60" t="s">
        <v>1403</v>
      </c>
      <c r="D173" s="67" t="s">
        <v>1404</v>
      </c>
    </row>
    <row r="174" spans="1:4" x14ac:dyDescent="0.2">
      <c r="A174" s="66" t="s">
        <v>1330</v>
      </c>
      <c r="B174" s="60" t="s">
        <v>1331</v>
      </c>
      <c r="C174" s="60" t="s">
        <v>1332</v>
      </c>
      <c r="D174" s="67" t="s">
        <v>1333</v>
      </c>
    </row>
    <row r="175" spans="1:4" x14ac:dyDescent="0.2">
      <c r="A175" s="66" t="s">
        <v>1562</v>
      </c>
      <c r="B175" s="60" t="s">
        <v>1563</v>
      </c>
      <c r="C175" s="60" t="s">
        <v>1564</v>
      </c>
      <c r="D175" s="67" t="s">
        <v>1565</v>
      </c>
    </row>
    <row r="176" spans="1:4" x14ac:dyDescent="0.2">
      <c r="A176" s="66" t="s">
        <v>245</v>
      </c>
      <c r="B176" s="60" t="s">
        <v>520</v>
      </c>
      <c r="C176" s="60" t="s">
        <v>521</v>
      </c>
      <c r="D176" s="67" t="s">
        <v>246</v>
      </c>
    </row>
    <row r="177" spans="1:4" x14ac:dyDescent="0.2">
      <c r="A177" s="66" t="s">
        <v>271</v>
      </c>
      <c r="B177" s="60" t="s">
        <v>525</v>
      </c>
      <c r="C177" s="60" t="s">
        <v>526</v>
      </c>
      <c r="D177" s="67" t="s">
        <v>272</v>
      </c>
    </row>
    <row r="178" spans="1:4" x14ac:dyDescent="0.2">
      <c r="A178" s="66" t="s">
        <v>1566</v>
      </c>
      <c r="B178" s="60" t="s">
        <v>1567</v>
      </c>
      <c r="C178" s="60" t="s">
        <v>1568</v>
      </c>
      <c r="D178" s="67" t="s">
        <v>1569</v>
      </c>
    </row>
    <row r="179" spans="1:4" x14ac:dyDescent="0.2">
      <c r="A179" s="66" t="s">
        <v>1378</v>
      </c>
      <c r="B179" s="60" t="s">
        <v>1379</v>
      </c>
      <c r="C179" s="60" t="s">
        <v>1380</v>
      </c>
      <c r="D179" s="67" t="s">
        <v>1381</v>
      </c>
    </row>
    <row r="180" spans="1:4" x14ac:dyDescent="0.2">
      <c r="A180" s="66" t="s">
        <v>1334</v>
      </c>
      <c r="B180" s="60" t="s">
        <v>1335</v>
      </c>
      <c r="C180" s="60" t="s">
        <v>1336</v>
      </c>
      <c r="D180" s="67" t="s">
        <v>1337</v>
      </c>
    </row>
    <row r="181" spans="1:4" x14ac:dyDescent="0.2">
      <c r="A181" s="66" t="s">
        <v>1338</v>
      </c>
      <c r="B181" s="60" t="s">
        <v>1339</v>
      </c>
      <c r="C181" s="60" t="s">
        <v>1339</v>
      </c>
      <c r="D181" s="67" t="s">
        <v>1340</v>
      </c>
    </row>
    <row r="182" spans="1:4" x14ac:dyDescent="0.2">
      <c r="A182" s="66" t="s">
        <v>1570</v>
      </c>
      <c r="B182" s="60" t="s">
        <v>1571</v>
      </c>
      <c r="C182" s="60" t="s">
        <v>1572</v>
      </c>
      <c r="D182" s="67" t="s">
        <v>1573</v>
      </c>
    </row>
    <row r="183" spans="1:4" x14ac:dyDescent="0.2">
      <c r="A183" s="66" t="s">
        <v>1574</v>
      </c>
      <c r="B183" s="60" t="s">
        <v>1575</v>
      </c>
      <c r="C183" s="60" t="s">
        <v>1576</v>
      </c>
      <c r="D183" s="67" t="s">
        <v>1577</v>
      </c>
    </row>
    <row r="184" spans="1:4" x14ac:dyDescent="0.2">
      <c r="A184" s="66" t="s">
        <v>1393</v>
      </c>
      <c r="B184" s="60" t="s">
        <v>1394</v>
      </c>
      <c r="C184" s="60" t="s">
        <v>1395</v>
      </c>
      <c r="D184" s="67" t="s">
        <v>1396</v>
      </c>
    </row>
    <row r="185" spans="1:4" x14ac:dyDescent="0.2">
      <c r="A185" s="66" t="s">
        <v>262</v>
      </c>
      <c r="B185" s="60" t="s">
        <v>527</v>
      </c>
      <c r="C185" s="60" t="s">
        <v>528</v>
      </c>
      <c r="D185" s="67" t="s">
        <v>263</v>
      </c>
    </row>
    <row r="186" spans="1:4" x14ac:dyDescent="0.2">
      <c r="A186" s="66" t="s">
        <v>1578</v>
      </c>
      <c r="B186" s="60" t="s">
        <v>1579</v>
      </c>
      <c r="C186" s="60" t="s">
        <v>1580</v>
      </c>
      <c r="D186" s="67" t="s">
        <v>1581</v>
      </c>
    </row>
    <row r="187" spans="1:4" x14ac:dyDescent="0.2">
      <c r="A187" s="66" t="s">
        <v>1582</v>
      </c>
      <c r="B187" s="60" t="s">
        <v>1583</v>
      </c>
      <c r="C187" s="60" t="s">
        <v>1584</v>
      </c>
      <c r="D187" s="67" t="s">
        <v>1585</v>
      </c>
    </row>
    <row r="188" spans="1:4" x14ac:dyDescent="0.2">
      <c r="A188" s="66" t="s">
        <v>1586</v>
      </c>
      <c r="B188" s="60" t="s">
        <v>1587</v>
      </c>
      <c r="C188" s="60" t="s">
        <v>1588</v>
      </c>
      <c r="D188" s="67" t="s">
        <v>1589</v>
      </c>
    </row>
    <row r="189" spans="1:4" x14ac:dyDescent="0.2">
      <c r="A189" s="66" t="s">
        <v>1035</v>
      </c>
      <c r="B189" s="60" t="s">
        <v>1036</v>
      </c>
      <c r="C189" s="60" t="s">
        <v>1037</v>
      </c>
      <c r="D189" s="67" t="s">
        <v>1038</v>
      </c>
    </row>
    <row r="190" spans="1:4" x14ac:dyDescent="0.2">
      <c r="A190" s="66" t="s">
        <v>1590</v>
      </c>
      <c r="B190" s="60" t="s">
        <v>1591</v>
      </c>
      <c r="C190" s="60" t="s">
        <v>1592</v>
      </c>
      <c r="D190" s="67" t="s">
        <v>1593</v>
      </c>
    </row>
    <row r="191" spans="1:4" x14ac:dyDescent="0.2">
      <c r="A191" s="66" t="s">
        <v>1594</v>
      </c>
      <c r="B191" s="60" t="s">
        <v>1595</v>
      </c>
      <c r="C191" s="60" t="s">
        <v>1596</v>
      </c>
      <c r="D191" s="67" t="s">
        <v>1597</v>
      </c>
    </row>
    <row r="192" spans="1:4" x14ac:dyDescent="0.2">
      <c r="A192" s="66" t="s">
        <v>253</v>
      </c>
      <c r="B192" s="60" t="s">
        <v>543</v>
      </c>
      <c r="C192" s="60" t="s">
        <v>544</v>
      </c>
      <c r="D192" s="67" t="s">
        <v>254</v>
      </c>
    </row>
    <row r="193" spans="1:4" x14ac:dyDescent="0.2">
      <c r="A193" s="66" t="s">
        <v>1598</v>
      </c>
      <c r="B193" s="60" t="s">
        <v>1599</v>
      </c>
      <c r="C193" s="60" t="s">
        <v>1600</v>
      </c>
      <c r="D193" s="67" t="s">
        <v>1601</v>
      </c>
    </row>
    <row r="194" spans="1:4" x14ac:dyDescent="0.2">
      <c r="A194" s="66" t="s">
        <v>1602</v>
      </c>
      <c r="B194" s="60" t="s">
        <v>1603</v>
      </c>
      <c r="C194" s="60" t="s">
        <v>1604</v>
      </c>
      <c r="D194" s="67" t="s">
        <v>1605</v>
      </c>
    </row>
    <row r="195" spans="1:4" x14ac:dyDescent="0.2">
      <c r="A195" s="66" t="s">
        <v>274</v>
      </c>
      <c r="B195" s="60" t="s">
        <v>549</v>
      </c>
      <c r="C195" s="60" t="s">
        <v>550</v>
      </c>
      <c r="D195" s="67" t="s">
        <v>275</v>
      </c>
    </row>
    <row r="196" spans="1:4" x14ac:dyDescent="0.2">
      <c r="A196" s="66" t="s">
        <v>277</v>
      </c>
      <c r="B196" s="60" t="s">
        <v>552</v>
      </c>
      <c r="C196" s="60" t="s">
        <v>553</v>
      </c>
      <c r="D196" s="67" t="s">
        <v>278</v>
      </c>
    </row>
    <row r="197" spans="1:4" x14ac:dyDescent="0.2">
      <c r="A197" s="66" t="s">
        <v>1043</v>
      </c>
      <c r="B197" s="60" t="s">
        <v>1044</v>
      </c>
      <c r="C197" s="60" t="s">
        <v>1045</v>
      </c>
      <c r="D197" s="67" t="s">
        <v>1046</v>
      </c>
    </row>
    <row r="198" spans="1:4" x14ac:dyDescent="0.2">
      <c r="A198" s="66" t="s">
        <v>1341</v>
      </c>
      <c r="B198" s="60" t="s">
        <v>1342</v>
      </c>
      <c r="C198" s="60" t="s">
        <v>1342</v>
      </c>
      <c r="D198" s="67" t="s">
        <v>1343</v>
      </c>
    </row>
    <row r="199" spans="1:4" x14ac:dyDescent="0.2">
      <c r="A199" s="66" t="s">
        <v>1344</v>
      </c>
      <c r="B199" s="60" t="s">
        <v>1345</v>
      </c>
      <c r="C199" s="60" t="s">
        <v>1345</v>
      </c>
      <c r="D199" s="67" t="s">
        <v>1346</v>
      </c>
    </row>
    <row r="200" spans="1:4" x14ac:dyDescent="0.2">
      <c r="A200" s="66" t="s">
        <v>1347</v>
      </c>
      <c r="B200" s="60" t="s">
        <v>1348</v>
      </c>
      <c r="C200" s="60" t="s">
        <v>1348</v>
      </c>
      <c r="D200" s="67" t="s">
        <v>1349</v>
      </c>
    </row>
    <row r="201" spans="1:4" x14ac:dyDescent="0.2">
      <c r="A201" s="66" t="s">
        <v>1606</v>
      </c>
      <c r="B201" s="60" t="s">
        <v>1607</v>
      </c>
      <c r="C201" s="60" t="s">
        <v>1608</v>
      </c>
      <c r="D201" s="67" t="s">
        <v>1609</v>
      </c>
    </row>
    <row r="202" spans="1:4" x14ac:dyDescent="0.2">
      <c r="A202" s="66" t="s">
        <v>1610</v>
      </c>
      <c r="B202" s="60" t="s">
        <v>1611</v>
      </c>
      <c r="C202" s="60" t="s">
        <v>1612</v>
      </c>
      <c r="D202" s="67" t="s">
        <v>1613</v>
      </c>
    </row>
    <row r="203" spans="1:4" x14ac:dyDescent="0.2">
      <c r="A203" s="66" t="s">
        <v>1350</v>
      </c>
      <c r="B203" s="60" t="s">
        <v>1351</v>
      </c>
      <c r="C203" s="60" t="s">
        <v>1352</v>
      </c>
      <c r="D203" s="67" t="s">
        <v>1353</v>
      </c>
    </row>
    <row r="204" spans="1:4" x14ac:dyDescent="0.2">
      <c r="A204" s="66" t="s">
        <v>1354</v>
      </c>
      <c r="B204" s="60" t="s">
        <v>1355</v>
      </c>
      <c r="C204" s="60" t="s">
        <v>1356</v>
      </c>
      <c r="D204" s="67" t="s">
        <v>1357</v>
      </c>
    </row>
    <row r="205" spans="1:4" x14ac:dyDescent="0.2">
      <c r="A205" s="66" t="s">
        <v>1358</v>
      </c>
      <c r="B205" s="60" t="s">
        <v>1359</v>
      </c>
      <c r="C205" s="60" t="s">
        <v>1359</v>
      </c>
      <c r="D205" s="67" t="s">
        <v>1360</v>
      </c>
    </row>
    <row r="206" spans="1:4" x14ac:dyDescent="0.2">
      <c r="A206" s="66" t="s">
        <v>1361</v>
      </c>
      <c r="B206" s="60" t="s">
        <v>1362</v>
      </c>
      <c r="C206" s="60" t="s">
        <v>1362</v>
      </c>
      <c r="D206" s="67" t="s">
        <v>1363</v>
      </c>
    </row>
    <row r="207" spans="1:4" x14ac:dyDescent="0.2">
      <c r="A207" s="66" t="s">
        <v>283</v>
      </c>
      <c r="B207" s="60" t="s">
        <v>559</v>
      </c>
      <c r="C207" s="60" t="s">
        <v>982</v>
      </c>
      <c r="D207" s="67" t="s">
        <v>284</v>
      </c>
    </row>
    <row r="208" spans="1:4" x14ac:dyDescent="0.2">
      <c r="A208" s="66" t="s">
        <v>1051</v>
      </c>
      <c r="B208" s="60" t="s">
        <v>1052</v>
      </c>
      <c r="C208" s="60" t="s">
        <v>1053</v>
      </c>
      <c r="D208" s="67" t="s">
        <v>1054</v>
      </c>
    </row>
    <row r="209" spans="1:4" x14ac:dyDescent="0.2">
      <c r="A209" s="66" t="s">
        <v>1364</v>
      </c>
      <c r="B209" s="60" t="s">
        <v>1365</v>
      </c>
      <c r="C209" s="60" t="s">
        <v>1366</v>
      </c>
      <c r="D209" s="67" t="s">
        <v>1367</v>
      </c>
    </row>
    <row r="210" spans="1:4" x14ac:dyDescent="0.2">
      <c r="A210" s="66" t="s">
        <v>783</v>
      </c>
      <c r="B210" s="60" t="s">
        <v>883</v>
      </c>
      <c r="C210" s="60" t="s">
        <v>1243</v>
      </c>
      <c r="D210" s="67" t="s">
        <v>884</v>
      </c>
    </row>
    <row r="211" spans="1:4" x14ac:dyDescent="0.2">
      <c r="A211" s="66" t="s">
        <v>789</v>
      </c>
      <c r="B211" s="60" t="s">
        <v>894</v>
      </c>
      <c r="C211" s="60" t="s">
        <v>895</v>
      </c>
      <c r="D211" s="67" t="s">
        <v>896</v>
      </c>
    </row>
    <row r="212" spans="1:4" x14ac:dyDescent="0.2">
      <c r="A212" s="66" t="s">
        <v>921</v>
      </c>
      <c r="B212" s="60" t="s">
        <v>922</v>
      </c>
      <c r="C212" s="60" t="s">
        <v>1244</v>
      </c>
      <c r="D212" s="67" t="s">
        <v>923</v>
      </c>
    </row>
    <row r="213" spans="1:4" x14ac:dyDescent="0.2">
      <c r="A213" s="66" t="s">
        <v>786</v>
      </c>
      <c r="B213" s="60" t="s">
        <v>877</v>
      </c>
      <c r="C213" s="60" t="s">
        <v>878</v>
      </c>
      <c r="D213" s="67" t="s">
        <v>879</v>
      </c>
    </row>
    <row r="214" spans="1:4" x14ac:dyDescent="0.2">
      <c r="A214" s="66" t="s">
        <v>792</v>
      </c>
      <c r="B214" s="60" t="s">
        <v>874</v>
      </c>
      <c r="C214" s="60" t="s">
        <v>875</v>
      </c>
      <c r="D214" s="67" t="s">
        <v>876</v>
      </c>
    </row>
    <row r="215" spans="1:4" x14ac:dyDescent="0.2">
      <c r="A215" s="66" t="s">
        <v>815</v>
      </c>
      <c r="B215" s="60" t="s">
        <v>906</v>
      </c>
      <c r="C215" s="60" t="s">
        <v>907</v>
      </c>
      <c r="D215" s="67" t="s">
        <v>908</v>
      </c>
    </row>
    <row r="216" spans="1:4" x14ac:dyDescent="0.2">
      <c r="A216" s="66" t="s">
        <v>794</v>
      </c>
      <c r="B216" s="60" t="s">
        <v>868</v>
      </c>
      <c r="C216" s="60" t="s">
        <v>869</v>
      </c>
      <c r="D216" s="67" t="s">
        <v>870</v>
      </c>
    </row>
    <row r="217" spans="1:4" x14ac:dyDescent="0.2">
      <c r="A217" s="66" t="s">
        <v>797</v>
      </c>
      <c r="B217" s="60" t="s">
        <v>871</v>
      </c>
      <c r="C217" s="60" t="s">
        <v>872</v>
      </c>
      <c r="D217" s="67" t="s">
        <v>873</v>
      </c>
    </row>
    <row r="218" spans="1:4" x14ac:dyDescent="0.2">
      <c r="A218" s="66" t="s">
        <v>799</v>
      </c>
      <c r="B218" s="60" t="s">
        <v>903</v>
      </c>
      <c r="C218" s="60" t="s">
        <v>904</v>
      </c>
      <c r="D218" s="67" t="s">
        <v>905</v>
      </c>
    </row>
    <row r="219" spans="1:4" x14ac:dyDescent="0.2">
      <c r="A219" s="66" t="s">
        <v>801</v>
      </c>
      <c r="B219" s="60" t="s">
        <v>888</v>
      </c>
      <c r="C219" s="60" t="s">
        <v>889</v>
      </c>
      <c r="D219" s="67" t="s">
        <v>890</v>
      </c>
    </row>
    <row r="220" spans="1:4" x14ac:dyDescent="0.2">
      <c r="A220" s="66" t="s">
        <v>804</v>
      </c>
      <c r="B220" s="60" t="s">
        <v>885</v>
      </c>
      <c r="C220" s="60" t="s">
        <v>886</v>
      </c>
      <c r="D220" s="67" t="s">
        <v>887</v>
      </c>
    </row>
    <row r="221" spans="1:4" x14ac:dyDescent="0.2">
      <c r="A221" s="66" t="s">
        <v>806</v>
      </c>
      <c r="B221" s="60" t="s">
        <v>880</v>
      </c>
      <c r="C221" s="60" t="s">
        <v>881</v>
      </c>
      <c r="D221" s="67" t="s">
        <v>882</v>
      </c>
    </row>
    <row r="222" spans="1:4" x14ac:dyDescent="0.2">
      <c r="A222" s="66" t="s">
        <v>808</v>
      </c>
      <c r="B222" s="60" t="s">
        <v>900</v>
      </c>
      <c r="C222" s="60" t="s">
        <v>901</v>
      </c>
      <c r="D222" s="67" t="s">
        <v>902</v>
      </c>
    </row>
    <row r="223" spans="1:4" x14ac:dyDescent="0.2">
      <c r="A223" s="66" t="s">
        <v>811</v>
      </c>
      <c r="B223" s="60" t="s">
        <v>891</v>
      </c>
      <c r="C223" s="60" t="s">
        <v>892</v>
      </c>
      <c r="D223" s="67" t="s">
        <v>893</v>
      </c>
    </row>
    <row r="224" spans="1:4" x14ac:dyDescent="0.2">
      <c r="A224" s="66" t="s">
        <v>813</v>
      </c>
      <c r="B224" s="60" t="s">
        <v>897</v>
      </c>
      <c r="C224" s="60" t="s">
        <v>898</v>
      </c>
      <c r="D224" s="67" t="s">
        <v>899</v>
      </c>
    </row>
    <row r="225" spans="1:4" x14ac:dyDescent="0.2">
      <c r="A225" s="66" t="s">
        <v>909</v>
      </c>
      <c r="B225" s="60" t="s">
        <v>910</v>
      </c>
      <c r="C225" s="60" t="s">
        <v>1245</v>
      </c>
      <c r="D225" s="67" t="s">
        <v>911</v>
      </c>
    </row>
    <row r="226" spans="1:4" x14ac:dyDescent="0.2">
      <c r="A226" s="66" t="s">
        <v>912</v>
      </c>
      <c r="B226" s="60" t="s">
        <v>913</v>
      </c>
      <c r="C226" s="60" t="s">
        <v>1246</v>
      </c>
      <c r="D226" s="67" t="s">
        <v>914</v>
      </c>
    </row>
    <row r="227" spans="1:4" x14ac:dyDescent="0.2">
      <c r="A227" s="66" t="s">
        <v>915</v>
      </c>
      <c r="B227" s="60" t="s">
        <v>916</v>
      </c>
      <c r="C227" s="60" t="s">
        <v>1247</v>
      </c>
      <c r="D227" s="67" t="s">
        <v>917</v>
      </c>
    </row>
    <row r="228" spans="1:4" x14ac:dyDescent="0.2">
      <c r="A228" s="66" t="s">
        <v>918</v>
      </c>
      <c r="B228" s="60" t="s">
        <v>919</v>
      </c>
      <c r="C228" s="60" t="s">
        <v>1248</v>
      </c>
      <c r="D228" s="67" t="s">
        <v>920</v>
      </c>
    </row>
    <row r="229" spans="1:4" x14ac:dyDescent="0.2">
      <c r="A229" s="66" t="s">
        <v>1091</v>
      </c>
      <c r="B229" s="60" t="s">
        <v>1092</v>
      </c>
      <c r="C229" s="60" t="s">
        <v>1093</v>
      </c>
      <c r="D229" s="67" t="s">
        <v>1094</v>
      </c>
    </row>
    <row r="230" spans="1:4" x14ac:dyDescent="0.2">
      <c r="A230" s="66" t="s">
        <v>933</v>
      </c>
      <c r="B230" s="60" t="s">
        <v>934</v>
      </c>
      <c r="C230" s="60" t="s">
        <v>935</v>
      </c>
      <c r="D230" s="67" t="s">
        <v>936</v>
      </c>
    </row>
    <row r="231" spans="1:4" x14ac:dyDescent="0.2">
      <c r="A231" s="66" t="s">
        <v>937</v>
      </c>
      <c r="B231" s="60" t="s">
        <v>938</v>
      </c>
      <c r="C231" s="60" t="s">
        <v>939</v>
      </c>
      <c r="D231" s="67" t="s">
        <v>940</v>
      </c>
    </row>
    <row r="232" spans="1:4" x14ac:dyDescent="0.2">
      <c r="A232" s="66" t="s">
        <v>941</v>
      </c>
      <c r="B232" s="60" t="s">
        <v>942</v>
      </c>
      <c r="C232" s="60" t="s">
        <v>943</v>
      </c>
      <c r="D232" s="67" t="s">
        <v>944</v>
      </c>
    </row>
    <row r="233" spans="1:4" x14ac:dyDescent="0.2">
      <c r="A233" s="66" t="s">
        <v>946</v>
      </c>
      <c r="B233" s="60" t="s">
        <v>947</v>
      </c>
      <c r="C233" s="60" t="s">
        <v>948</v>
      </c>
      <c r="D233" s="67" t="s">
        <v>949</v>
      </c>
    </row>
    <row r="234" spans="1:4" x14ac:dyDescent="0.2">
      <c r="A234" s="66" t="s">
        <v>950</v>
      </c>
      <c r="B234" s="60" t="s">
        <v>951</v>
      </c>
      <c r="C234" s="60" t="s">
        <v>952</v>
      </c>
      <c r="D234" s="67" t="s">
        <v>953</v>
      </c>
    </row>
    <row r="235" spans="1:4" x14ac:dyDescent="0.2">
      <c r="A235" s="66" t="s">
        <v>954</v>
      </c>
      <c r="B235" s="60" t="s">
        <v>955</v>
      </c>
      <c r="C235" s="60" t="s">
        <v>956</v>
      </c>
      <c r="D235" s="67" t="s">
        <v>957</v>
      </c>
    </row>
    <row r="236" spans="1:4" x14ac:dyDescent="0.2">
      <c r="A236" s="66" t="s">
        <v>958</v>
      </c>
      <c r="B236" s="60" t="s">
        <v>959</v>
      </c>
      <c r="C236" s="60" t="s">
        <v>960</v>
      </c>
      <c r="D236" s="67" t="s">
        <v>961</v>
      </c>
    </row>
    <row r="237" spans="1:4" x14ac:dyDescent="0.2">
      <c r="A237" s="66" t="s">
        <v>962</v>
      </c>
      <c r="B237" s="60" t="s">
        <v>963</v>
      </c>
      <c r="C237" s="60" t="s">
        <v>964</v>
      </c>
      <c r="D237" s="67" t="s">
        <v>965</v>
      </c>
    </row>
    <row r="238" spans="1:4" x14ac:dyDescent="0.2">
      <c r="A238" s="66" t="s">
        <v>966</v>
      </c>
      <c r="B238" s="60" t="s">
        <v>967</v>
      </c>
      <c r="C238" s="60" t="s">
        <v>968</v>
      </c>
      <c r="D238" s="67" t="s">
        <v>556</v>
      </c>
    </row>
    <row r="239" spans="1:4" x14ac:dyDescent="0.2">
      <c r="A239" s="66" t="s">
        <v>945</v>
      </c>
      <c r="B239" s="60" t="s">
        <v>1614</v>
      </c>
      <c r="C239" s="60" t="s">
        <v>1249</v>
      </c>
      <c r="D239" s="67" t="s">
        <v>500</v>
      </c>
    </row>
    <row r="240" spans="1:4" x14ac:dyDescent="0.2">
      <c r="A240" s="66" t="s">
        <v>931</v>
      </c>
      <c r="B240" s="60" t="s">
        <v>1615</v>
      </c>
      <c r="C240" s="60" t="s">
        <v>1262</v>
      </c>
      <c r="D240" s="67" t="s">
        <v>932</v>
      </c>
    </row>
    <row r="241" spans="1:4" x14ac:dyDescent="0.2">
      <c r="A241" s="66" t="s">
        <v>969</v>
      </c>
      <c r="B241" s="60" t="s">
        <v>970</v>
      </c>
      <c r="C241" s="60" t="s">
        <v>1250</v>
      </c>
      <c r="D241" s="67" t="s">
        <v>971</v>
      </c>
    </row>
    <row r="242" spans="1:4" x14ac:dyDescent="0.2">
      <c r="A242" s="66" t="s">
        <v>972</v>
      </c>
      <c r="B242" s="60" t="s">
        <v>973</v>
      </c>
      <c r="C242" s="60" t="s">
        <v>1251</v>
      </c>
      <c r="D242" s="67" t="s">
        <v>974</v>
      </c>
    </row>
    <row r="243" spans="1:4" x14ac:dyDescent="0.2">
      <c r="A243" s="66" t="s">
        <v>975</v>
      </c>
      <c r="B243" s="60" t="s">
        <v>976</v>
      </c>
      <c r="C243" s="60" t="s">
        <v>1252</v>
      </c>
      <c r="D243" s="67" t="s">
        <v>977</v>
      </c>
    </row>
    <row r="244" spans="1:4" x14ac:dyDescent="0.2">
      <c r="A244" s="66" t="s">
        <v>1616</v>
      </c>
      <c r="B244" s="60" t="s">
        <v>1617</v>
      </c>
      <c r="C244" s="60" t="s">
        <v>1617</v>
      </c>
      <c r="D244" s="67" t="s">
        <v>1618</v>
      </c>
    </row>
    <row r="245" spans="1:4" x14ac:dyDescent="0.2">
      <c r="A245" s="66" t="s">
        <v>1619</v>
      </c>
      <c r="B245" s="60" t="s">
        <v>1620</v>
      </c>
      <c r="C245" s="60" t="s">
        <v>1620</v>
      </c>
      <c r="D245" s="67" t="s">
        <v>1621</v>
      </c>
    </row>
    <row r="246" spans="1:4" x14ac:dyDescent="0.2">
      <c r="A246" s="66" t="s">
        <v>780</v>
      </c>
      <c r="B246" s="60" t="s">
        <v>983</v>
      </c>
      <c r="C246" s="60" t="s">
        <v>984</v>
      </c>
      <c r="D246" s="67" t="s">
        <v>985</v>
      </c>
    </row>
    <row r="247" spans="1:4" x14ac:dyDescent="0.2">
      <c r="A247" s="66" t="s">
        <v>986</v>
      </c>
      <c r="B247" s="60" t="s">
        <v>987</v>
      </c>
      <c r="C247" s="60" t="s">
        <v>988</v>
      </c>
      <c r="D247" s="67" t="s">
        <v>989</v>
      </c>
    </row>
    <row r="248" spans="1:4" x14ac:dyDescent="0.2">
      <c r="A248" s="66" t="s">
        <v>990</v>
      </c>
      <c r="B248" s="60" t="s">
        <v>991</v>
      </c>
      <c r="C248" s="60" t="s">
        <v>992</v>
      </c>
      <c r="D248" s="67" t="s">
        <v>993</v>
      </c>
    </row>
    <row r="249" spans="1:4" x14ac:dyDescent="0.2">
      <c r="A249" s="66" t="s">
        <v>994</v>
      </c>
      <c r="B249" s="60" t="s">
        <v>995</v>
      </c>
      <c r="C249" s="60" t="s">
        <v>996</v>
      </c>
      <c r="D249" s="67" t="s">
        <v>997</v>
      </c>
    </row>
    <row r="250" spans="1:4" x14ac:dyDescent="0.2">
      <c r="A250" s="66" t="s">
        <v>998</v>
      </c>
      <c r="B250" s="60" t="s">
        <v>999</v>
      </c>
      <c r="C250" s="60" t="s">
        <v>1000</v>
      </c>
      <c r="D250" s="67" t="s">
        <v>1001</v>
      </c>
    </row>
    <row r="251" spans="1:4" x14ac:dyDescent="0.2">
      <c r="A251" s="66" t="s">
        <v>1002</v>
      </c>
      <c r="B251" s="60" t="s">
        <v>1003</v>
      </c>
      <c r="C251" s="60" t="s">
        <v>1253</v>
      </c>
      <c r="D251" s="67" t="s">
        <v>1004</v>
      </c>
    </row>
    <row r="252" spans="1:4" x14ac:dyDescent="0.2">
      <c r="A252" s="66" t="s">
        <v>1005</v>
      </c>
      <c r="B252" s="60" t="s">
        <v>1006</v>
      </c>
      <c r="C252" s="60" t="s">
        <v>1007</v>
      </c>
      <c r="D252" s="67" t="s">
        <v>222</v>
      </c>
    </row>
    <row r="253" spans="1:4" x14ac:dyDescent="0.2">
      <c r="A253" s="66" t="s">
        <v>1115</v>
      </c>
      <c r="B253" s="60" t="s">
        <v>1116</v>
      </c>
      <c r="C253" s="60" t="s">
        <v>1254</v>
      </c>
      <c r="D253" s="67" t="s">
        <v>1256</v>
      </c>
    </row>
    <row r="254" spans="1:4" x14ac:dyDescent="0.2">
      <c r="A254" s="66" t="s">
        <v>1117</v>
      </c>
      <c r="B254" s="60" t="s">
        <v>1118</v>
      </c>
      <c r="C254" s="60" t="s">
        <v>1255</v>
      </c>
      <c r="D254" s="67" t="s">
        <v>1257</v>
      </c>
    </row>
    <row r="255" spans="1:4" x14ac:dyDescent="0.2">
      <c r="A255" s="117" t="s">
        <v>1119</v>
      </c>
      <c r="B255" s="113" t="s">
        <v>1120</v>
      </c>
      <c r="C255" s="113" t="s">
        <v>1263</v>
      </c>
      <c r="D255" s="118"/>
    </row>
  </sheetData>
  <sheetProtection algorithmName="SHA-512" hashValue="vyDAFBBOO/gazP3c1+LNHNoEs0E8itHIJejz2gvukGfVLVnnJwg1r06ixkIEPlq0d2N2wEmNsQjggikrfeghBw==" saltValue="gpOB2WoWdozKfIG4THwpyg==" spinCount="100000" sheet="1" objects="1" scenarios="1"/>
  <sortState xmlns:xlrd2="http://schemas.microsoft.com/office/spreadsheetml/2017/richdata2" ref="A1:J38">
    <sortCondition ref="B1"/>
  </sortState>
  <phoneticPr fontId="4" type="noConversion"/>
  <dataValidations count="1">
    <dataValidation type="custom" allowBlank="1" showInputMessage="1" showErrorMessage="1" sqref="F1" xr:uid="{00000000-0002-0000-0800-000000000000}">
      <formula1>""</formula1>
    </dataValidation>
  </dataValidations>
  <hyperlinks>
    <hyperlink ref="F1" location="NC!A1" display="1" xr:uid="{00000000-0004-0000-0800-000000000000}"/>
  </hyperlinks>
  <pageMargins left="0.75" right="0.75" top="1" bottom="1" header="0.5" footer="0.5"/>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P67"/>
  <sheetViews>
    <sheetView showGridLines="0" zoomScale="90" zoomScaleNormal="90" workbookViewId="0">
      <selection activeCell="H1" sqref="H1"/>
    </sheetView>
  </sheetViews>
  <sheetFormatPr defaultRowHeight="13.5" x14ac:dyDescent="0.25"/>
  <cols>
    <col min="1" max="1" width="8.5703125" style="54" bestFit="1" customWidth="1"/>
    <col min="2" max="3" width="44.140625" style="54" bestFit="1" customWidth="1"/>
    <col min="4" max="4" width="16.140625" style="54" bestFit="1" customWidth="1"/>
    <col min="5" max="5" width="14.5703125" style="54" customWidth="1"/>
    <col min="6" max="7" width="14.5703125" style="6" customWidth="1"/>
    <col min="8" max="8" width="26" style="7" customWidth="1"/>
    <col min="9" max="10" width="40.5703125" style="7" customWidth="1"/>
    <col min="11" max="16" width="18.7109375" style="7" customWidth="1"/>
  </cols>
  <sheetData>
    <row r="1" spans="1:16" ht="18" x14ac:dyDescent="0.2">
      <c r="A1" s="71" t="s">
        <v>318</v>
      </c>
      <c r="B1" s="71" t="s">
        <v>753</v>
      </c>
      <c r="C1" s="71" t="s">
        <v>754</v>
      </c>
      <c r="D1" s="72" t="s">
        <v>755</v>
      </c>
      <c r="E1" s="79"/>
      <c r="F1" s="79"/>
      <c r="G1"/>
      <c r="H1" s="48">
        <v>1</v>
      </c>
      <c r="I1" s="17" t="s">
        <v>365</v>
      </c>
      <c r="J1"/>
      <c r="K1"/>
      <c r="L1"/>
      <c r="M1"/>
      <c r="N1"/>
      <c r="O1"/>
      <c r="P1"/>
    </row>
    <row r="2" spans="1:16" x14ac:dyDescent="0.2">
      <c r="A2" s="53" t="s">
        <v>161</v>
      </c>
      <c r="B2" s="53" t="s">
        <v>562</v>
      </c>
      <c r="C2" s="53" t="s">
        <v>563</v>
      </c>
      <c r="D2" s="70" t="s">
        <v>564</v>
      </c>
      <c r="E2" s="79"/>
      <c r="F2" s="79"/>
      <c r="G2"/>
      <c r="H2" s="20"/>
      <c r="I2"/>
      <c r="J2"/>
      <c r="K2"/>
      <c r="L2"/>
      <c r="M2"/>
      <c r="N2"/>
      <c r="O2"/>
      <c r="P2"/>
    </row>
    <row r="3" spans="1:16" x14ac:dyDescent="0.2">
      <c r="A3" s="53" t="s">
        <v>164</v>
      </c>
      <c r="B3" s="53" t="s">
        <v>565</v>
      </c>
      <c r="C3" s="53" t="s">
        <v>566</v>
      </c>
      <c r="D3" s="70" t="s">
        <v>564</v>
      </c>
      <c r="E3" s="79"/>
      <c r="F3" s="79"/>
      <c r="G3"/>
      <c r="H3" s="20"/>
      <c r="I3"/>
      <c r="J3"/>
      <c r="K3"/>
      <c r="L3"/>
      <c r="M3"/>
      <c r="N3"/>
      <c r="O3"/>
      <c r="P3"/>
    </row>
    <row r="4" spans="1:16" x14ac:dyDescent="0.2">
      <c r="A4" s="53" t="s">
        <v>825</v>
      </c>
      <c r="B4" s="53" t="s">
        <v>826</v>
      </c>
      <c r="C4" s="53" t="s">
        <v>827</v>
      </c>
      <c r="D4" s="70" t="s">
        <v>564</v>
      </c>
      <c r="E4" s="79"/>
      <c r="F4" s="79"/>
      <c r="G4"/>
      <c r="H4" s="20"/>
      <c r="I4"/>
      <c r="J4"/>
      <c r="K4"/>
      <c r="L4"/>
      <c r="M4"/>
      <c r="N4"/>
      <c r="O4"/>
      <c r="P4"/>
    </row>
    <row r="5" spans="1:16" x14ac:dyDescent="0.2">
      <c r="A5" s="53" t="s">
        <v>828</v>
      </c>
      <c r="B5" s="53" t="s">
        <v>829</v>
      </c>
      <c r="C5" s="53" t="s">
        <v>830</v>
      </c>
      <c r="D5" s="70" t="s">
        <v>564</v>
      </c>
      <c r="E5" s="79"/>
      <c r="F5" s="79"/>
      <c r="G5"/>
      <c r="H5" s="20"/>
      <c r="I5"/>
      <c r="J5"/>
      <c r="K5"/>
      <c r="L5"/>
      <c r="M5"/>
      <c r="N5"/>
      <c r="O5"/>
      <c r="P5"/>
    </row>
    <row r="6" spans="1:16" x14ac:dyDescent="0.2">
      <c r="A6" s="53" t="s">
        <v>167</v>
      </c>
      <c r="B6" s="53" t="s">
        <v>567</v>
      </c>
      <c r="C6" s="53" t="s">
        <v>568</v>
      </c>
      <c r="D6" s="70" t="s">
        <v>564</v>
      </c>
      <c r="E6" s="79"/>
      <c r="F6" s="79"/>
      <c r="G6"/>
      <c r="H6" s="20"/>
      <c r="I6"/>
      <c r="J6"/>
      <c r="K6"/>
      <c r="L6"/>
      <c r="M6"/>
      <c r="N6"/>
      <c r="O6"/>
      <c r="P6"/>
    </row>
    <row r="7" spans="1:16" x14ac:dyDescent="0.2">
      <c r="A7" s="53" t="s">
        <v>817</v>
      </c>
      <c r="B7" s="53" t="s">
        <v>818</v>
      </c>
      <c r="C7" s="53" t="s">
        <v>819</v>
      </c>
      <c r="D7" s="70" t="s">
        <v>564</v>
      </c>
      <c r="E7" s="79"/>
      <c r="F7" s="79"/>
      <c r="G7"/>
      <c r="H7" s="20"/>
      <c r="I7"/>
      <c r="J7"/>
      <c r="K7"/>
      <c r="L7"/>
      <c r="M7"/>
      <c r="N7"/>
      <c r="O7"/>
      <c r="P7"/>
    </row>
    <row r="8" spans="1:16" x14ac:dyDescent="0.2">
      <c r="A8" s="53" t="s">
        <v>170</v>
      </c>
      <c r="B8" s="53" t="s">
        <v>569</v>
      </c>
      <c r="C8" s="53" t="s">
        <v>570</v>
      </c>
      <c r="D8" s="70" t="s">
        <v>575</v>
      </c>
      <c r="E8" s="79"/>
      <c r="F8" s="79"/>
      <c r="G8"/>
      <c r="H8" s="20"/>
      <c r="I8"/>
      <c r="J8"/>
      <c r="K8"/>
      <c r="L8"/>
      <c r="M8"/>
      <c r="N8"/>
      <c r="O8"/>
      <c r="P8"/>
    </row>
    <row r="9" spans="1:16" x14ac:dyDescent="0.2">
      <c r="A9" s="53" t="s">
        <v>173</v>
      </c>
      <c r="B9" s="53" t="s">
        <v>571</v>
      </c>
      <c r="C9" s="53" t="s">
        <v>572</v>
      </c>
      <c r="D9" s="70" t="s">
        <v>573</v>
      </c>
      <c r="E9" s="79"/>
      <c r="F9" s="79"/>
      <c r="G9"/>
      <c r="H9" s="20"/>
      <c r="I9"/>
      <c r="J9"/>
      <c r="K9"/>
      <c r="L9"/>
      <c r="M9"/>
      <c r="N9"/>
      <c r="O9"/>
      <c r="P9"/>
    </row>
    <row r="10" spans="1:16" x14ac:dyDescent="0.2">
      <c r="A10" s="53" t="s">
        <v>820</v>
      </c>
      <c r="B10" s="53" t="s">
        <v>821</v>
      </c>
      <c r="C10" s="53" t="s">
        <v>822</v>
      </c>
      <c r="D10" s="70" t="s">
        <v>575</v>
      </c>
      <c r="E10" s="79"/>
      <c r="F10" s="79"/>
      <c r="G10"/>
      <c r="H10" s="20"/>
      <c r="I10"/>
      <c r="J10"/>
      <c r="K10"/>
      <c r="L10"/>
      <c r="M10"/>
      <c r="N10"/>
      <c r="O10"/>
      <c r="P10"/>
    </row>
    <row r="11" spans="1:16" x14ac:dyDescent="0.2">
      <c r="A11" s="53" t="s">
        <v>176</v>
      </c>
      <c r="B11" s="53" t="s">
        <v>574</v>
      </c>
      <c r="C11" s="53" t="s">
        <v>766</v>
      </c>
      <c r="D11" s="70" t="s">
        <v>575</v>
      </c>
      <c r="E11" s="79"/>
      <c r="F11" s="79"/>
      <c r="G11"/>
      <c r="H11" s="20"/>
      <c r="I11"/>
      <c r="J11"/>
      <c r="K11"/>
      <c r="L11"/>
      <c r="M11"/>
      <c r="N11"/>
      <c r="O11"/>
      <c r="P11"/>
    </row>
    <row r="12" spans="1:16" x14ac:dyDescent="0.2">
      <c r="A12" s="53" t="s">
        <v>179</v>
      </c>
      <c r="B12" s="53" t="s">
        <v>576</v>
      </c>
      <c r="C12" s="53" t="s">
        <v>577</v>
      </c>
      <c r="D12" s="70" t="s">
        <v>564</v>
      </c>
      <c r="E12" s="79"/>
      <c r="F12" s="79"/>
      <c r="G12"/>
      <c r="H12" s="20"/>
      <c r="I12"/>
      <c r="J12"/>
      <c r="K12"/>
      <c r="L12"/>
      <c r="M12"/>
      <c r="N12"/>
      <c r="O12"/>
      <c r="P12"/>
    </row>
    <row r="13" spans="1:16" x14ac:dyDescent="0.2">
      <c r="A13" s="53" t="s">
        <v>181</v>
      </c>
      <c r="B13" s="53" t="s">
        <v>578</v>
      </c>
      <c r="C13" s="53" t="s">
        <v>578</v>
      </c>
      <c r="D13" s="70" t="s">
        <v>564</v>
      </c>
      <c r="E13" s="79"/>
      <c r="F13" s="79"/>
      <c r="G13"/>
      <c r="H13" s="20"/>
      <c r="I13"/>
      <c r="J13"/>
      <c r="K13"/>
      <c r="L13"/>
      <c r="M13"/>
      <c r="N13"/>
      <c r="O13"/>
      <c r="P13"/>
    </row>
    <row r="14" spans="1:16" x14ac:dyDescent="0.2">
      <c r="A14" s="53" t="s">
        <v>849</v>
      </c>
      <c r="B14" s="53" t="s">
        <v>850</v>
      </c>
      <c r="C14" s="53" t="s">
        <v>851</v>
      </c>
      <c r="D14" s="70" t="s">
        <v>575</v>
      </c>
      <c r="E14" s="79"/>
      <c r="F14" s="79"/>
      <c r="G14"/>
      <c r="H14" s="20"/>
      <c r="I14"/>
      <c r="J14"/>
      <c r="K14"/>
      <c r="L14"/>
      <c r="M14"/>
      <c r="N14"/>
      <c r="O14"/>
      <c r="P14"/>
    </row>
    <row r="15" spans="1:16" x14ac:dyDescent="0.2">
      <c r="A15" s="53" t="s">
        <v>184</v>
      </c>
      <c r="B15" s="53" t="s">
        <v>579</v>
      </c>
      <c r="C15" s="53" t="s">
        <v>580</v>
      </c>
      <c r="D15" s="70" t="s">
        <v>564</v>
      </c>
      <c r="E15" s="79"/>
      <c r="F15" s="79"/>
      <c r="G15"/>
      <c r="H15" s="20"/>
      <c r="I15"/>
      <c r="J15"/>
      <c r="K15"/>
      <c r="L15"/>
      <c r="M15"/>
      <c r="N15"/>
      <c r="O15"/>
      <c r="P15"/>
    </row>
    <row r="16" spans="1:16" x14ac:dyDescent="0.2">
      <c r="A16" s="53" t="s">
        <v>187</v>
      </c>
      <c r="B16" s="53" t="s">
        <v>581</v>
      </c>
      <c r="C16" s="53" t="s">
        <v>761</v>
      </c>
      <c r="D16" s="70" t="s">
        <v>573</v>
      </c>
      <c r="E16" s="52"/>
      <c r="F16" s="52"/>
      <c r="G16" s="19"/>
      <c r="H16"/>
      <c r="I16"/>
      <c r="J16"/>
      <c r="K16"/>
      <c r="L16"/>
      <c r="M16"/>
      <c r="N16"/>
      <c r="O16"/>
      <c r="P16"/>
    </row>
    <row r="17" spans="1:16" x14ac:dyDescent="0.2">
      <c r="A17" s="53" t="s">
        <v>190</v>
      </c>
      <c r="B17" s="53" t="s">
        <v>778</v>
      </c>
      <c r="C17" s="53" t="s">
        <v>582</v>
      </c>
      <c r="D17" s="70" t="s">
        <v>564</v>
      </c>
      <c r="E17" s="52"/>
      <c r="F17" s="52"/>
      <c r="G17"/>
      <c r="H17"/>
      <c r="I17"/>
      <c r="J17"/>
      <c r="K17"/>
      <c r="L17"/>
      <c r="M17"/>
      <c r="N17"/>
      <c r="O17"/>
      <c r="P17"/>
    </row>
    <row r="18" spans="1:16" x14ac:dyDescent="0.2">
      <c r="A18" s="53" t="s">
        <v>193</v>
      </c>
      <c r="B18" s="53" t="s">
        <v>583</v>
      </c>
      <c r="C18" s="53" t="s">
        <v>762</v>
      </c>
      <c r="D18" s="70" t="s">
        <v>573</v>
      </c>
      <c r="E18" s="52"/>
      <c r="F18" s="52"/>
      <c r="G18"/>
      <c r="H18"/>
      <c r="I18"/>
      <c r="J18"/>
      <c r="K18"/>
      <c r="L18"/>
      <c r="M18"/>
      <c r="N18"/>
      <c r="O18"/>
      <c r="P18"/>
    </row>
    <row r="19" spans="1:16" x14ac:dyDescent="0.2">
      <c r="A19" s="53" t="s">
        <v>196</v>
      </c>
      <c r="B19" s="53" t="s">
        <v>584</v>
      </c>
      <c r="C19" s="53" t="s">
        <v>765</v>
      </c>
      <c r="D19" s="70" t="s">
        <v>573</v>
      </c>
      <c r="E19" s="52"/>
      <c r="F19" s="52"/>
      <c r="G19"/>
      <c r="H19"/>
      <c r="I19"/>
      <c r="J19"/>
      <c r="K19"/>
      <c r="L19"/>
      <c r="M19"/>
      <c r="N19"/>
      <c r="O19"/>
      <c r="P19"/>
    </row>
    <row r="20" spans="1:16" x14ac:dyDescent="0.2">
      <c r="A20" s="53" t="s">
        <v>199</v>
      </c>
      <c r="B20" s="53" t="s">
        <v>823</v>
      </c>
      <c r="C20" s="53" t="s">
        <v>824</v>
      </c>
      <c r="D20" s="70" t="s">
        <v>575</v>
      </c>
      <c r="E20" s="52"/>
      <c r="F20" s="52"/>
      <c r="G20"/>
      <c r="H20"/>
      <c r="I20"/>
      <c r="J20"/>
      <c r="K20"/>
      <c r="L20"/>
      <c r="M20"/>
      <c r="N20"/>
      <c r="O20"/>
      <c r="P20"/>
    </row>
    <row r="21" spans="1:16" x14ac:dyDescent="0.2">
      <c r="A21" s="53" t="s">
        <v>202</v>
      </c>
      <c r="B21" s="53" t="s">
        <v>585</v>
      </c>
      <c r="C21" s="53" t="s">
        <v>585</v>
      </c>
      <c r="D21" s="70" t="s">
        <v>575</v>
      </c>
      <c r="E21" s="52"/>
      <c r="F21" s="52"/>
      <c r="G21"/>
      <c r="H21"/>
      <c r="I21"/>
      <c r="J21"/>
      <c r="K21"/>
      <c r="L21"/>
      <c r="M21"/>
      <c r="N21"/>
      <c r="O21"/>
      <c r="P21"/>
    </row>
    <row r="22" spans="1:16" x14ac:dyDescent="0.2">
      <c r="A22" s="53" t="s">
        <v>205</v>
      </c>
      <c r="B22" s="53" t="s">
        <v>586</v>
      </c>
      <c r="C22" s="53" t="s">
        <v>763</v>
      </c>
      <c r="D22" s="70" t="s">
        <v>573</v>
      </c>
      <c r="E22" s="52"/>
      <c r="F22" s="52"/>
      <c r="G22"/>
      <c r="H22"/>
      <c r="I22"/>
      <c r="J22"/>
      <c r="K22"/>
      <c r="L22"/>
      <c r="M22"/>
      <c r="N22"/>
      <c r="O22"/>
      <c r="P22"/>
    </row>
    <row r="23" spans="1:16" x14ac:dyDescent="0.2">
      <c r="A23" s="53" t="s">
        <v>208</v>
      </c>
      <c r="B23" s="53" t="s">
        <v>587</v>
      </c>
      <c r="C23" s="53" t="s">
        <v>764</v>
      </c>
      <c r="D23" s="70" t="s">
        <v>573</v>
      </c>
      <c r="E23" s="52"/>
      <c r="F23" s="52"/>
      <c r="G23"/>
      <c r="H23"/>
      <c r="I23"/>
      <c r="J23"/>
      <c r="K23"/>
      <c r="L23"/>
      <c r="M23"/>
      <c r="N23"/>
      <c r="O23"/>
      <c r="P23"/>
    </row>
    <row r="24" spans="1:16" x14ac:dyDescent="0.2">
      <c r="A24" s="53" t="s">
        <v>211</v>
      </c>
      <c r="B24" s="53" t="s">
        <v>588</v>
      </c>
      <c r="C24" s="53" t="s">
        <v>588</v>
      </c>
      <c r="D24" s="70" t="s">
        <v>573</v>
      </c>
      <c r="E24" s="52"/>
      <c r="F24" s="52"/>
      <c r="G24"/>
      <c r="H24"/>
      <c r="I24"/>
      <c r="J24"/>
      <c r="K24"/>
      <c r="L24"/>
      <c r="M24"/>
      <c r="N24"/>
      <c r="O24"/>
      <c r="P24"/>
    </row>
    <row r="25" spans="1:16" x14ac:dyDescent="0.2">
      <c r="A25" s="53" t="s">
        <v>212</v>
      </c>
      <c r="B25" s="53" t="s">
        <v>589</v>
      </c>
      <c r="C25" s="53" t="s">
        <v>590</v>
      </c>
      <c r="D25" s="70" t="s">
        <v>564</v>
      </c>
      <c r="E25" s="52"/>
      <c r="F25" s="52"/>
      <c r="G25"/>
      <c r="H25"/>
      <c r="I25"/>
      <c r="J25"/>
      <c r="K25"/>
      <c r="L25"/>
      <c r="M25"/>
      <c r="N25"/>
      <c r="O25"/>
      <c r="P25"/>
    </row>
    <row r="26" spans="1:16" x14ac:dyDescent="0.2">
      <c r="A26" s="53" t="s">
        <v>831</v>
      </c>
      <c r="B26" s="53" t="s">
        <v>832</v>
      </c>
      <c r="C26" s="53" t="s">
        <v>833</v>
      </c>
      <c r="D26" s="70" t="s">
        <v>564</v>
      </c>
      <c r="E26" s="52"/>
      <c r="F26" s="52"/>
      <c r="G26"/>
      <c r="H26"/>
      <c r="I26"/>
      <c r="J26"/>
      <c r="K26"/>
      <c r="L26"/>
      <c r="M26"/>
      <c r="N26"/>
      <c r="O26"/>
      <c r="P26"/>
    </row>
    <row r="27" spans="1:16" x14ac:dyDescent="0.2">
      <c r="A27" s="53" t="s">
        <v>215</v>
      </c>
      <c r="B27" s="53" t="s">
        <v>591</v>
      </c>
      <c r="C27" s="53" t="s">
        <v>758</v>
      </c>
      <c r="D27" s="70" t="s">
        <v>564</v>
      </c>
      <c r="E27" s="52"/>
      <c r="F27" s="52"/>
      <c r="G27"/>
      <c r="H27"/>
      <c r="I27"/>
      <c r="J27"/>
      <c r="K27"/>
      <c r="L27"/>
      <c r="M27"/>
      <c r="N27"/>
      <c r="O27"/>
      <c r="P27"/>
    </row>
    <row r="28" spans="1:16" x14ac:dyDescent="0.2">
      <c r="A28" s="53" t="s">
        <v>840</v>
      </c>
      <c r="B28" s="53" t="s">
        <v>841</v>
      </c>
      <c r="C28" s="53" t="s">
        <v>842</v>
      </c>
      <c r="D28" s="70" t="s">
        <v>564</v>
      </c>
      <c r="E28" s="52"/>
      <c r="F28" s="52"/>
      <c r="G28"/>
      <c r="H28"/>
      <c r="I28"/>
      <c r="J28"/>
      <c r="K28"/>
      <c r="L28"/>
      <c r="M28"/>
      <c r="N28"/>
      <c r="O28"/>
      <c r="P28"/>
    </row>
    <row r="29" spans="1:16" x14ac:dyDescent="0.2">
      <c r="A29" s="53" t="s">
        <v>837</v>
      </c>
      <c r="B29" s="53" t="s">
        <v>838</v>
      </c>
      <c r="C29" s="53" t="s">
        <v>839</v>
      </c>
      <c r="D29" s="70" t="s">
        <v>564</v>
      </c>
      <c r="E29" s="52"/>
      <c r="F29" s="52"/>
      <c r="G29"/>
      <c r="H29"/>
      <c r="I29"/>
      <c r="J29"/>
      <c r="K29"/>
      <c r="L29"/>
      <c r="M29"/>
      <c r="N29"/>
      <c r="O29"/>
      <c r="P29"/>
    </row>
    <row r="30" spans="1:16" x14ac:dyDescent="0.2">
      <c r="A30" s="53" t="s">
        <v>218</v>
      </c>
      <c r="B30" s="53" t="s">
        <v>592</v>
      </c>
      <c r="C30" s="53" t="s">
        <v>592</v>
      </c>
      <c r="D30" s="70" t="s">
        <v>573</v>
      </c>
      <c r="E30" s="52"/>
      <c r="F30" s="52"/>
      <c r="G30"/>
      <c r="H30"/>
      <c r="I30"/>
      <c r="J30"/>
      <c r="K30"/>
      <c r="L30"/>
      <c r="M30"/>
      <c r="N30"/>
      <c r="O30"/>
      <c r="P30"/>
    </row>
    <row r="31" spans="1:16" x14ac:dyDescent="0.2">
      <c r="A31" s="53" t="s">
        <v>221</v>
      </c>
      <c r="B31" s="53" t="s">
        <v>593</v>
      </c>
      <c r="C31" s="53" t="s">
        <v>759</v>
      </c>
      <c r="D31" s="70" t="s">
        <v>564</v>
      </c>
      <c r="E31" s="52"/>
      <c r="F31" s="52"/>
      <c r="G31"/>
      <c r="H31"/>
      <c r="I31"/>
      <c r="J31"/>
      <c r="K31"/>
      <c r="L31"/>
      <c r="M31"/>
      <c r="N31"/>
      <c r="O31"/>
      <c r="P31"/>
    </row>
    <row r="32" spans="1:16" x14ac:dyDescent="0.2">
      <c r="A32" s="53" t="s">
        <v>223</v>
      </c>
      <c r="B32" s="53" t="s">
        <v>594</v>
      </c>
      <c r="C32" s="53" t="s">
        <v>760</v>
      </c>
      <c r="D32" s="70" t="s">
        <v>564</v>
      </c>
      <c r="E32" s="52"/>
      <c r="F32" s="52"/>
      <c r="G32"/>
      <c r="H32"/>
      <c r="I32"/>
      <c r="J32"/>
      <c r="K32"/>
      <c r="L32"/>
      <c r="M32"/>
      <c r="N32"/>
      <c r="O32"/>
      <c r="P32"/>
    </row>
    <row r="33" spans="1:16" x14ac:dyDescent="0.2">
      <c r="A33" s="53" t="s">
        <v>226</v>
      </c>
      <c r="B33" s="53" t="s">
        <v>779</v>
      </c>
      <c r="C33" s="53" t="s">
        <v>779</v>
      </c>
      <c r="D33" s="70" t="s">
        <v>575</v>
      </c>
      <c r="E33" s="52"/>
      <c r="F33" s="52"/>
      <c r="G33"/>
      <c r="H33"/>
      <c r="I33"/>
      <c r="J33"/>
      <c r="K33"/>
      <c r="L33"/>
      <c r="M33"/>
      <c r="N33"/>
      <c r="O33"/>
      <c r="P33"/>
    </row>
    <row r="34" spans="1:16" x14ac:dyDescent="0.2">
      <c r="A34" s="53" t="s">
        <v>834</v>
      </c>
      <c r="B34" s="53" t="s">
        <v>835</v>
      </c>
      <c r="C34" s="53" t="s">
        <v>836</v>
      </c>
      <c r="D34" s="70" t="s">
        <v>564</v>
      </c>
      <c r="E34" s="52"/>
      <c r="F34" s="52"/>
      <c r="G34"/>
      <c r="H34"/>
      <c r="I34"/>
      <c r="J34"/>
      <c r="K34"/>
      <c r="L34"/>
      <c r="M34"/>
      <c r="N34"/>
      <c r="O34"/>
      <c r="P34"/>
    </row>
    <row r="35" spans="1:16" x14ac:dyDescent="0.2">
      <c r="A35" s="53" t="s">
        <v>229</v>
      </c>
      <c r="B35" s="53" t="s">
        <v>595</v>
      </c>
      <c r="C35" s="53" t="s">
        <v>767</v>
      </c>
      <c r="D35" s="70" t="s">
        <v>573</v>
      </c>
      <c r="E35" s="52"/>
      <c r="F35" s="52"/>
      <c r="G35"/>
      <c r="H35"/>
      <c r="I35"/>
      <c r="J35"/>
      <c r="K35"/>
      <c r="L35"/>
      <c r="M35"/>
      <c r="N35"/>
      <c r="O35"/>
      <c r="P35"/>
    </row>
    <row r="36" spans="1:16" x14ac:dyDescent="0.2">
      <c r="A36" s="53" t="s">
        <v>232</v>
      </c>
      <c r="B36" s="53" t="s">
        <v>596</v>
      </c>
      <c r="C36" s="53" t="s">
        <v>768</v>
      </c>
      <c r="D36" s="70" t="s">
        <v>573</v>
      </c>
      <c r="E36" s="52"/>
      <c r="F36" s="52"/>
      <c r="G36"/>
      <c r="H36"/>
      <c r="I36"/>
      <c r="J36"/>
      <c r="K36"/>
      <c r="L36"/>
      <c r="M36"/>
      <c r="N36"/>
      <c r="O36"/>
      <c r="P36"/>
    </row>
    <row r="37" spans="1:16" x14ac:dyDescent="0.2">
      <c r="A37" s="53" t="s">
        <v>235</v>
      </c>
      <c r="B37" s="53" t="s">
        <v>597</v>
      </c>
      <c r="C37" s="53" t="s">
        <v>769</v>
      </c>
      <c r="D37" s="70" t="s">
        <v>573</v>
      </c>
      <c r="E37" s="52"/>
      <c r="F37" s="52"/>
      <c r="G37"/>
      <c r="H37"/>
      <c r="I37"/>
      <c r="J37"/>
      <c r="K37"/>
      <c r="L37"/>
      <c r="M37"/>
      <c r="N37"/>
      <c r="O37"/>
      <c r="P37"/>
    </row>
    <row r="38" spans="1:16" x14ac:dyDescent="0.2">
      <c r="A38" s="53" t="s">
        <v>238</v>
      </c>
      <c r="B38" s="53" t="s">
        <v>598</v>
      </c>
      <c r="C38" s="53" t="s">
        <v>599</v>
      </c>
      <c r="D38" s="70" t="s">
        <v>573</v>
      </c>
      <c r="E38" s="52"/>
      <c r="F38" s="52"/>
      <c r="G38"/>
      <c r="H38"/>
      <c r="I38"/>
      <c r="J38"/>
      <c r="K38"/>
      <c r="L38"/>
      <c r="M38"/>
      <c r="N38"/>
      <c r="O38"/>
      <c r="P38"/>
    </row>
    <row r="39" spans="1:16" x14ac:dyDescent="0.2">
      <c r="A39" s="53" t="s">
        <v>241</v>
      </c>
      <c r="B39" s="53" t="s">
        <v>600</v>
      </c>
      <c r="C39" s="53" t="s">
        <v>770</v>
      </c>
      <c r="D39" s="70" t="s">
        <v>564</v>
      </c>
      <c r="E39" s="52"/>
      <c r="F39" s="52"/>
      <c r="G39"/>
      <c r="H39"/>
      <c r="I39"/>
      <c r="J39"/>
      <c r="K39"/>
      <c r="L39"/>
      <c r="M39"/>
      <c r="N39"/>
      <c r="O39"/>
      <c r="P39"/>
    </row>
    <row r="40" spans="1:16" x14ac:dyDescent="0.25">
      <c r="A40" s="53" t="s">
        <v>852</v>
      </c>
      <c r="B40" s="53" t="s">
        <v>853</v>
      </c>
      <c r="C40" s="53" t="s">
        <v>854</v>
      </c>
      <c r="D40" s="70" t="s">
        <v>575</v>
      </c>
      <c r="E40" s="52"/>
      <c r="F40" s="52"/>
      <c r="G40"/>
      <c r="O40"/>
      <c r="P40"/>
    </row>
    <row r="41" spans="1:16" x14ac:dyDescent="0.25">
      <c r="A41" s="53" t="s">
        <v>244</v>
      </c>
      <c r="B41" s="53" t="s">
        <v>601</v>
      </c>
      <c r="C41" s="53" t="s">
        <v>601</v>
      </c>
      <c r="D41" s="70" t="s">
        <v>564</v>
      </c>
      <c r="E41" s="52"/>
      <c r="F41" s="52"/>
      <c r="G41"/>
      <c r="P41"/>
    </row>
    <row r="42" spans="1:16" x14ac:dyDescent="0.25">
      <c r="A42" s="53" t="s">
        <v>843</v>
      </c>
      <c r="B42" s="53" t="s">
        <v>844</v>
      </c>
      <c r="C42" s="53" t="s">
        <v>845</v>
      </c>
      <c r="D42" s="70" t="s">
        <v>575</v>
      </c>
      <c r="E42" s="52"/>
      <c r="F42" s="52"/>
      <c r="G42"/>
      <c r="P42"/>
    </row>
    <row r="43" spans="1:16" x14ac:dyDescent="0.25">
      <c r="A43" s="53" t="s">
        <v>846</v>
      </c>
      <c r="B43" s="53" t="s">
        <v>847</v>
      </c>
      <c r="C43" s="53" t="s">
        <v>848</v>
      </c>
      <c r="D43" s="70" t="s">
        <v>575</v>
      </c>
      <c r="E43" s="52"/>
      <c r="F43" s="52"/>
      <c r="G43"/>
      <c r="P43"/>
    </row>
    <row r="44" spans="1:16" x14ac:dyDescent="0.25">
      <c r="A44" s="53" t="s">
        <v>775</v>
      </c>
      <c r="B44" s="53" t="s">
        <v>776</v>
      </c>
      <c r="C44" s="53" t="s">
        <v>777</v>
      </c>
      <c r="D44" s="70" t="s">
        <v>573</v>
      </c>
      <c r="E44" s="52"/>
      <c r="F44" s="52"/>
      <c r="G44"/>
      <c r="P44"/>
    </row>
    <row r="45" spans="1:16" x14ac:dyDescent="0.25">
      <c r="A45" s="53" t="s">
        <v>249</v>
      </c>
      <c r="B45" s="53" t="s">
        <v>756</v>
      </c>
      <c r="C45" s="53" t="s">
        <v>757</v>
      </c>
      <c r="D45" s="70" t="s">
        <v>575</v>
      </c>
      <c r="E45" s="52"/>
      <c r="F45" s="52"/>
      <c r="G45"/>
      <c r="P45"/>
    </row>
    <row r="46" spans="1:16" x14ac:dyDescent="0.25">
      <c r="A46" s="53" t="s">
        <v>252</v>
      </c>
      <c r="B46" s="53" t="s">
        <v>602</v>
      </c>
      <c r="C46" s="53" t="s">
        <v>771</v>
      </c>
      <c r="D46" s="70" t="s">
        <v>564</v>
      </c>
      <c r="E46" s="52"/>
      <c r="F46" s="52"/>
      <c r="G46"/>
      <c r="P46"/>
    </row>
    <row r="47" spans="1:16" x14ac:dyDescent="0.25">
      <c r="A47" s="53" t="s">
        <v>255</v>
      </c>
      <c r="B47" s="53" t="s">
        <v>603</v>
      </c>
      <c r="C47" s="53" t="s">
        <v>604</v>
      </c>
      <c r="D47" s="70" t="s">
        <v>564</v>
      </c>
      <c r="E47" s="52"/>
      <c r="F47" s="52"/>
      <c r="G47"/>
      <c r="P47"/>
    </row>
    <row r="48" spans="1:16" x14ac:dyDescent="0.25">
      <c r="A48" s="53" t="s">
        <v>258</v>
      </c>
      <c r="B48" s="53" t="s">
        <v>605</v>
      </c>
      <c r="C48" s="53" t="s">
        <v>772</v>
      </c>
      <c r="D48" s="70" t="s">
        <v>564</v>
      </c>
      <c r="E48" s="52"/>
      <c r="F48" s="52"/>
      <c r="G48"/>
      <c r="P48"/>
    </row>
    <row r="49" spans="1:16" x14ac:dyDescent="0.25">
      <c r="A49" s="53" t="s">
        <v>261</v>
      </c>
      <c r="B49" s="53" t="s">
        <v>606</v>
      </c>
      <c r="C49" s="53" t="s">
        <v>773</v>
      </c>
      <c r="D49" s="70" t="s">
        <v>564</v>
      </c>
      <c r="E49" s="52"/>
      <c r="F49" s="52"/>
      <c r="G49"/>
      <c r="P49"/>
    </row>
    <row r="50" spans="1:16" x14ac:dyDescent="0.25">
      <c r="A50" s="53" t="s">
        <v>264</v>
      </c>
      <c r="B50" s="53" t="s">
        <v>607</v>
      </c>
      <c r="C50" s="53" t="s">
        <v>774</v>
      </c>
      <c r="D50" s="70" t="s">
        <v>564</v>
      </c>
      <c r="E50" s="52"/>
      <c r="F50" s="52"/>
      <c r="G50"/>
      <c r="P50"/>
    </row>
    <row r="51" spans="1:16" x14ac:dyDescent="0.25">
      <c r="A51" s="53" t="s">
        <v>267</v>
      </c>
      <c r="B51" s="53" t="s">
        <v>608</v>
      </c>
      <c r="C51" s="53" t="s">
        <v>609</v>
      </c>
      <c r="D51" s="70" t="s">
        <v>564</v>
      </c>
      <c r="E51" s="52"/>
      <c r="F51" s="52"/>
      <c r="G51"/>
      <c r="P51"/>
    </row>
    <row r="52" spans="1:16" x14ac:dyDescent="0.25">
      <c r="A52" s="53" t="s">
        <v>270</v>
      </c>
      <c r="B52" s="53" t="s">
        <v>610</v>
      </c>
      <c r="C52" s="53" t="s">
        <v>611</v>
      </c>
      <c r="D52" s="70" t="s">
        <v>564</v>
      </c>
      <c r="E52" s="52"/>
      <c r="F52" s="52"/>
      <c r="G52"/>
      <c r="P52"/>
    </row>
    <row r="53" spans="1:16" x14ac:dyDescent="0.25">
      <c r="A53" s="53" t="s">
        <v>780</v>
      </c>
      <c r="B53" s="53" t="s">
        <v>781</v>
      </c>
      <c r="C53" s="53" t="s">
        <v>782</v>
      </c>
      <c r="D53" s="70" t="s">
        <v>564</v>
      </c>
      <c r="E53" s="52"/>
      <c r="F53" s="52"/>
      <c r="G53"/>
      <c r="P53"/>
    </row>
    <row r="54" spans="1:16" x14ac:dyDescent="0.25">
      <c r="A54" s="53" t="s">
        <v>783</v>
      </c>
      <c r="B54" s="53" t="s">
        <v>784</v>
      </c>
      <c r="C54" s="53" t="s">
        <v>785</v>
      </c>
      <c r="D54" s="70" t="s">
        <v>573</v>
      </c>
      <c r="F54" s="54"/>
      <c r="G54" s="7"/>
      <c r="P54"/>
    </row>
    <row r="55" spans="1:16" x14ac:dyDescent="0.25">
      <c r="A55" s="53" t="s">
        <v>786</v>
      </c>
      <c r="B55" s="53" t="s">
        <v>787</v>
      </c>
      <c r="C55" s="53" t="s">
        <v>788</v>
      </c>
      <c r="D55" s="70" t="s">
        <v>564</v>
      </c>
      <c r="F55" s="54"/>
      <c r="G55" s="7"/>
      <c r="P55"/>
    </row>
    <row r="56" spans="1:16" x14ac:dyDescent="0.25">
      <c r="A56" s="53" t="s">
        <v>789</v>
      </c>
      <c r="B56" s="53" t="s">
        <v>790</v>
      </c>
      <c r="C56" s="53" t="s">
        <v>791</v>
      </c>
      <c r="D56" s="70" t="s">
        <v>564</v>
      </c>
      <c r="F56" s="54"/>
      <c r="G56" s="7"/>
      <c r="P56"/>
    </row>
    <row r="57" spans="1:16" x14ac:dyDescent="0.25">
      <c r="A57" s="53" t="s">
        <v>792</v>
      </c>
      <c r="B57" s="53" t="s">
        <v>793</v>
      </c>
      <c r="C57" s="53" t="s">
        <v>793</v>
      </c>
      <c r="D57" s="70" t="s">
        <v>564</v>
      </c>
      <c r="F57" s="54"/>
      <c r="G57" s="7"/>
      <c r="P57"/>
    </row>
    <row r="58" spans="1:16" x14ac:dyDescent="0.25">
      <c r="A58" s="53" t="s">
        <v>794</v>
      </c>
      <c r="B58" s="53" t="s">
        <v>795</v>
      </c>
      <c r="C58" s="53" t="s">
        <v>796</v>
      </c>
      <c r="D58" s="70" t="s">
        <v>564</v>
      </c>
      <c r="F58" s="54"/>
      <c r="G58" s="7"/>
      <c r="P58"/>
    </row>
    <row r="59" spans="1:16" x14ac:dyDescent="0.25">
      <c r="A59" s="53" t="s">
        <v>797</v>
      </c>
      <c r="B59" s="53" t="s">
        <v>798</v>
      </c>
      <c r="C59" s="53" t="s">
        <v>798</v>
      </c>
      <c r="D59" s="70" t="s">
        <v>564</v>
      </c>
      <c r="F59" s="54"/>
      <c r="G59" s="7"/>
      <c r="P59"/>
    </row>
    <row r="60" spans="1:16" x14ac:dyDescent="0.25">
      <c r="A60" s="53" t="s">
        <v>799</v>
      </c>
      <c r="B60" s="53" t="s">
        <v>800</v>
      </c>
      <c r="C60" s="53" t="s">
        <v>800</v>
      </c>
      <c r="D60" s="70" t="s">
        <v>564</v>
      </c>
      <c r="F60" s="54"/>
      <c r="G60" s="7"/>
      <c r="P60"/>
    </row>
    <row r="61" spans="1:16" x14ac:dyDescent="0.25">
      <c r="A61" s="53" t="s">
        <v>801</v>
      </c>
      <c r="B61" s="53" t="s">
        <v>802</v>
      </c>
      <c r="C61" s="53" t="s">
        <v>803</v>
      </c>
      <c r="D61" s="70" t="s">
        <v>564</v>
      </c>
      <c r="F61" s="54"/>
      <c r="G61" s="7"/>
      <c r="P61"/>
    </row>
    <row r="62" spans="1:16" x14ac:dyDescent="0.25">
      <c r="A62" s="53" t="s">
        <v>804</v>
      </c>
      <c r="B62" s="53" t="s">
        <v>805</v>
      </c>
      <c r="C62" s="53" t="s">
        <v>805</v>
      </c>
      <c r="D62" s="70" t="s">
        <v>564</v>
      </c>
      <c r="F62" s="54"/>
      <c r="G62" s="7"/>
      <c r="P62"/>
    </row>
    <row r="63" spans="1:16" x14ac:dyDescent="0.25">
      <c r="A63" s="53" t="s">
        <v>806</v>
      </c>
      <c r="B63" s="53" t="s">
        <v>807</v>
      </c>
      <c r="C63" s="53" t="s">
        <v>807</v>
      </c>
      <c r="D63" s="70" t="s">
        <v>564</v>
      </c>
      <c r="F63" s="54"/>
      <c r="G63" s="7"/>
      <c r="P63"/>
    </row>
    <row r="64" spans="1:16" x14ac:dyDescent="0.25">
      <c r="A64" s="53" t="s">
        <v>808</v>
      </c>
      <c r="B64" s="53" t="s">
        <v>809</v>
      </c>
      <c r="C64" s="53" t="s">
        <v>810</v>
      </c>
      <c r="D64" s="70" t="s">
        <v>564</v>
      </c>
      <c r="F64" s="54"/>
      <c r="G64" s="7"/>
      <c r="P64"/>
    </row>
    <row r="65" spans="1:16" x14ac:dyDescent="0.25">
      <c r="A65" s="53" t="s">
        <v>811</v>
      </c>
      <c r="B65" s="53" t="s">
        <v>812</v>
      </c>
      <c r="C65" s="53" t="s">
        <v>812</v>
      </c>
      <c r="D65" s="70" t="s">
        <v>564</v>
      </c>
      <c r="F65" s="54"/>
      <c r="G65" s="7"/>
      <c r="P65"/>
    </row>
    <row r="66" spans="1:16" x14ac:dyDescent="0.25">
      <c r="A66" s="53" t="s">
        <v>813</v>
      </c>
      <c r="B66" s="53" t="s">
        <v>814</v>
      </c>
      <c r="C66" s="53" t="s">
        <v>814</v>
      </c>
      <c r="D66" s="70" t="s">
        <v>564</v>
      </c>
      <c r="F66" s="54"/>
      <c r="G66" s="7"/>
      <c r="P66"/>
    </row>
    <row r="67" spans="1:16" x14ac:dyDescent="0.25">
      <c r="A67" s="73" t="s">
        <v>815</v>
      </c>
      <c r="B67" s="73" t="s">
        <v>816</v>
      </c>
      <c r="C67" s="73" t="s">
        <v>816</v>
      </c>
      <c r="D67" s="74" t="s">
        <v>564</v>
      </c>
      <c r="F67" s="54"/>
      <c r="G67" s="7"/>
      <c r="P67"/>
    </row>
  </sheetData>
  <sheetProtection autoFilter="0"/>
  <sortState xmlns:xlrd2="http://schemas.microsoft.com/office/spreadsheetml/2017/richdata2" ref="A1:J79">
    <sortCondition ref="B16"/>
  </sortState>
  <phoneticPr fontId="4" type="noConversion"/>
  <dataValidations count="1">
    <dataValidation type="custom" allowBlank="1" showInputMessage="1" showErrorMessage="1" sqref="H1" xr:uid="{00000000-0002-0000-0900-000000000000}">
      <formula1>""</formula1>
    </dataValidation>
  </dataValidations>
  <hyperlinks>
    <hyperlink ref="H1" location="NC!A1" display="1" xr:uid="{00000000-0004-0000-0900-000000000000}"/>
  </hyperlinks>
  <pageMargins left="0.75" right="0.75" top="1" bottom="1" header="0.5" footer="0.5"/>
  <pageSetup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G6"/>
  <sheetViews>
    <sheetView workbookViewId="0">
      <selection activeCell="F1" sqref="F1"/>
    </sheetView>
  </sheetViews>
  <sheetFormatPr defaultColWidth="9.140625" defaultRowHeight="12.75" x14ac:dyDescent="0.2"/>
  <cols>
    <col min="1" max="1" width="8.42578125" style="3" bestFit="1" customWidth="1"/>
    <col min="2" max="3" width="81.140625" style="3" bestFit="1" customWidth="1"/>
    <col min="4" max="10" width="40.5703125" style="3" customWidth="1"/>
    <col min="11" max="16384" width="9.140625" style="3"/>
  </cols>
  <sheetData>
    <row r="1" spans="1:7" ht="18" x14ac:dyDescent="0.2">
      <c r="A1" s="64" t="s">
        <v>318</v>
      </c>
      <c r="B1" s="65" t="s">
        <v>753</v>
      </c>
      <c r="C1" s="65" t="s">
        <v>754</v>
      </c>
      <c r="F1" s="47">
        <v>1</v>
      </c>
      <c r="G1" s="17" t="s">
        <v>365</v>
      </c>
    </row>
    <row r="2" spans="1:7" x14ac:dyDescent="0.2">
      <c r="A2" s="62" t="s">
        <v>276</v>
      </c>
      <c r="B2" s="62" t="s">
        <v>677</v>
      </c>
      <c r="C2" s="62" t="s">
        <v>678</v>
      </c>
    </row>
    <row r="3" spans="1:7" ht="25.5" x14ac:dyDescent="0.2">
      <c r="A3" s="62" t="s">
        <v>285</v>
      </c>
      <c r="B3" s="62" t="s">
        <v>679</v>
      </c>
      <c r="C3" s="62" t="s">
        <v>680</v>
      </c>
    </row>
    <row r="4" spans="1:7" ht="25.5" x14ac:dyDescent="0.2">
      <c r="A4" s="62" t="s">
        <v>279</v>
      </c>
      <c r="B4" s="62" t="s">
        <v>681</v>
      </c>
      <c r="C4" s="62" t="s">
        <v>682</v>
      </c>
    </row>
    <row r="5" spans="1:7" ht="25.5" x14ac:dyDescent="0.2">
      <c r="A5" s="62" t="s">
        <v>273</v>
      </c>
      <c r="B5" s="62" t="s">
        <v>683</v>
      </c>
      <c r="C5" s="62" t="s">
        <v>684</v>
      </c>
    </row>
    <row r="6" spans="1:7" ht="25.5" x14ac:dyDescent="0.2">
      <c r="A6" s="62" t="s">
        <v>282</v>
      </c>
      <c r="B6" s="62" t="s">
        <v>685</v>
      </c>
      <c r="C6" s="62" t="s">
        <v>686</v>
      </c>
    </row>
  </sheetData>
  <sheetProtection algorithmName="SHA-512" hashValue="Bh8/9bv6x6TymIXFd6R7v5NJf8FdWBh6sKQbLgTRV6NOzZDtVOV1KGuLY7lnEXZFXLDu+1Yh6fv9TgMBc0A2ig==" saltValue="rXS5ljJTGXeG6O7wkQMueA==" spinCount="100000" sheet="1" objects="1" scenarios="1"/>
  <sortState xmlns:xlrd2="http://schemas.microsoft.com/office/spreadsheetml/2017/richdata2" ref="A1:J10">
    <sortCondition ref="B6"/>
  </sortState>
  <phoneticPr fontId="4" type="noConversion"/>
  <dataValidations count="1">
    <dataValidation type="custom" allowBlank="1" showInputMessage="1" showErrorMessage="1" sqref="F1" xr:uid="{00000000-0002-0000-0A00-000000000000}">
      <formula1>""</formula1>
    </dataValidation>
  </dataValidations>
  <hyperlinks>
    <hyperlink ref="F1" location="NC!A1" display="1" xr:uid="{00000000-0004-0000-0A00-000000000000}"/>
  </hyperlinks>
  <pageMargins left="0.75" right="0.75" top="1" bottom="1" header="0.5" footer="0.5"/>
  <pageSetup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
  <sheetViews>
    <sheetView workbookViewId="0">
      <selection activeCell="E1" sqref="E1"/>
    </sheetView>
  </sheetViews>
  <sheetFormatPr defaultColWidth="9.140625" defaultRowHeight="12.75" x14ac:dyDescent="0.2"/>
  <cols>
    <col min="1" max="1" width="8.42578125" style="3" bestFit="1" customWidth="1"/>
    <col min="2" max="3" width="81.140625" style="3" bestFit="1" customWidth="1"/>
    <col min="4" max="4" width="40.5703125" style="3" customWidth="1"/>
    <col min="5" max="5" width="9.140625" style="3"/>
    <col min="6" max="6" width="10.42578125" style="3" customWidth="1"/>
    <col min="7" max="16384" width="9.140625" style="3"/>
  </cols>
  <sheetData>
    <row r="1" spans="1:6" ht="19.5" x14ac:dyDescent="0.2">
      <c r="A1" s="76" t="s">
        <v>318</v>
      </c>
      <c r="B1" s="77" t="s">
        <v>753</v>
      </c>
      <c r="C1" s="78" t="s">
        <v>754</v>
      </c>
      <c r="E1" s="49">
        <v>1</v>
      </c>
      <c r="F1" s="17" t="s">
        <v>365</v>
      </c>
    </row>
    <row r="2" spans="1:6" ht="51" x14ac:dyDescent="0.2">
      <c r="A2" s="75" t="s">
        <v>291</v>
      </c>
      <c r="B2" s="62" t="s">
        <v>687</v>
      </c>
      <c r="C2" s="63" t="s">
        <v>688</v>
      </c>
    </row>
    <row r="3" spans="1:6" ht="38.25" x14ac:dyDescent="0.2">
      <c r="A3" s="75" t="s">
        <v>288</v>
      </c>
      <c r="B3" s="62" t="s">
        <v>689</v>
      </c>
      <c r="C3" s="63" t="s">
        <v>690</v>
      </c>
    </row>
    <row r="4" spans="1:6" ht="51" x14ac:dyDescent="0.2">
      <c r="A4" s="75" t="s">
        <v>289</v>
      </c>
      <c r="B4" s="62" t="s">
        <v>691</v>
      </c>
      <c r="C4" s="63" t="s">
        <v>692</v>
      </c>
    </row>
    <row r="5" spans="1:6" ht="25.5" x14ac:dyDescent="0.2">
      <c r="A5" s="75" t="s">
        <v>286</v>
      </c>
      <c r="B5" s="62" t="s">
        <v>693</v>
      </c>
      <c r="C5" s="63" t="s">
        <v>694</v>
      </c>
    </row>
    <row r="6" spans="1:6" ht="25.5" x14ac:dyDescent="0.2">
      <c r="A6" s="75" t="s">
        <v>290</v>
      </c>
      <c r="B6" s="62" t="s">
        <v>695</v>
      </c>
      <c r="C6" s="63" t="s">
        <v>696</v>
      </c>
    </row>
    <row r="7" spans="1:6" ht="51" x14ac:dyDescent="0.2">
      <c r="A7" s="75" t="s">
        <v>292</v>
      </c>
      <c r="B7" s="62" t="s">
        <v>697</v>
      </c>
      <c r="C7" s="63" t="s">
        <v>698</v>
      </c>
    </row>
    <row r="8" spans="1:6" ht="25.5" x14ac:dyDescent="0.2">
      <c r="A8" s="75" t="s">
        <v>287</v>
      </c>
      <c r="B8" s="62" t="s">
        <v>699</v>
      </c>
      <c r="C8" s="63" t="s">
        <v>700</v>
      </c>
    </row>
  </sheetData>
  <sheetProtection autoFilter="0"/>
  <sortState xmlns:xlrd2="http://schemas.microsoft.com/office/spreadsheetml/2017/richdata2" ref="A1:J15">
    <sortCondition ref="B1"/>
  </sortState>
  <phoneticPr fontId="4" type="noConversion"/>
  <dataValidations count="1">
    <dataValidation type="custom" allowBlank="1" showInputMessage="1" showErrorMessage="1" sqref="E1" xr:uid="{00000000-0002-0000-0B00-000000000000}">
      <formula1>""</formula1>
    </dataValidation>
  </dataValidations>
  <hyperlinks>
    <hyperlink ref="E1" location="NC!A1" display="1" xr:uid="{00000000-0004-0000-0B00-000000000000}"/>
  </hyperlinks>
  <pageMargins left="0.75" right="0.75" top="1" bottom="1" header="0.5" footer="0.5"/>
  <pageSetup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F27"/>
  <sheetViews>
    <sheetView zoomScale="85" workbookViewId="0">
      <selection activeCell="E1" sqref="E1"/>
    </sheetView>
  </sheetViews>
  <sheetFormatPr defaultColWidth="9.140625" defaultRowHeight="12.75" x14ac:dyDescent="0.2"/>
  <cols>
    <col min="1" max="1" width="12.28515625" style="3" bestFit="1" customWidth="1"/>
    <col min="2" max="2" width="47.140625" style="3" bestFit="1" customWidth="1"/>
    <col min="3" max="3" width="51.5703125" style="3" bestFit="1" customWidth="1"/>
    <col min="4" max="4" width="40.5703125" style="3" customWidth="1"/>
    <col min="5" max="16384" width="9.140625" style="3"/>
  </cols>
  <sheetData>
    <row r="1" spans="1:6" ht="18" x14ac:dyDescent="0.2">
      <c r="A1" t="s">
        <v>318</v>
      </c>
      <c r="B1" t="s">
        <v>753</v>
      </c>
      <c r="C1" t="s">
        <v>754</v>
      </c>
      <c r="E1" s="47">
        <v>1</v>
      </c>
      <c r="F1" s="17" t="s">
        <v>365</v>
      </c>
    </row>
    <row r="2" spans="1:6" x14ac:dyDescent="0.2">
      <c r="A2" t="s">
        <v>298</v>
      </c>
      <c r="B2" t="s">
        <v>701</v>
      </c>
      <c r="C2" t="s">
        <v>702</v>
      </c>
    </row>
    <row r="3" spans="1:6" x14ac:dyDescent="0.2">
      <c r="A3" t="s">
        <v>299</v>
      </c>
      <c r="B3" t="s">
        <v>703</v>
      </c>
      <c r="C3" t="s">
        <v>704</v>
      </c>
    </row>
    <row r="4" spans="1:6" x14ac:dyDescent="0.2">
      <c r="A4" t="s">
        <v>300</v>
      </c>
      <c r="B4" t="s">
        <v>705</v>
      </c>
      <c r="C4" t="s">
        <v>706</v>
      </c>
    </row>
    <row r="5" spans="1:6" x14ac:dyDescent="0.2">
      <c r="A5" t="s">
        <v>301</v>
      </c>
      <c r="B5" t="s">
        <v>707</v>
      </c>
      <c r="C5" t="s">
        <v>708</v>
      </c>
    </row>
    <row r="6" spans="1:6" x14ac:dyDescent="0.2">
      <c r="A6" t="s">
        <v>302</v>
      </c>
      <c r="B6" t="s">
        <v>709</v>
      </c>
      <c r="C6" t="s">
        <v>710</v>
      </c>
    </row>
    <row r="7" spans="1:6" x14ac:dyDescent="0.2">
      <c r="A7" t="s">
        <v>308</v>
      </c>
      <c r="B7" t="s">
        <v>711</v>
      </c>
      <c r="C7" t="s">
        <v>712</v>
      </c>
    </row>
    <row r="8" spans="1:6" x14ac:dyDescent="0.2">
      <c r="A8" t="s">
        <v>309</v>
      </c>
      <c r="B8" t="s">
        <v>713</v>
      </c>
      <c r="C8" t="s">
        <v>714</v>
      </c>
    </row>
    <row r="9" spans="1:6" x14ac:dyDescent="0.2">
      <c r="A9" t="s">
        <v>310</v>
      </c>
      <c r="B9" t="s">
        <v>715</v>
      </c>
      <c r="C9" t="s">
        <v>716</v>
      </c>
    </row>
    <row r="10" spans="1:6" x14ac:dyDescent="0.2">
      <c r="A10" t="s">
        <v>311</v>
      </c>
      <c r="B10" t="s">
        <v>717</v>
      </c>
      <c r="C10" t="s">
        <v>718</v>
      </c>
    </row>
    <row r="11" spans="1:6" x14ac:dyDescent="0.2">
      <c r="A11" t="s">
        <v>312</v>
      </c>
      <c r="B11" t="s">
        <v>719</v>
      </c>
      <c r="C11" t="s">
        <v>720</v>
      </c>
    </row>
    <row r="12" spans="1:6" x14ac:dyDescent="0.2">
      <c r="A12" t="s">
        <v>303</v>
      </c>
      <c r="B12" t="s">
        <v>721</v>
      </c>
      <c r="C12" t="s">
        <v>722</v>
      </c>
    </row>
    <row r="13" spans="1:6" x14ac:dyDescent="0.2">
      <c r="A13" t="s">
        <v>304</v>
      </c>
      <c r="B13" t="s">
        <v>723</v>
      </c>
      <c r="C13" t="s">
        <v>724</v>
      </c>
    </row>
    <row r="14" spans="1:6" x14ac:dyDescent="0.2">
      <c r="A14" t="s">
        <v>305</v>
      </c>
      <c r="B14" t="s">
        <v>725</v>
      </c>
      <c r="C14" t="s">
        <v>726</v>
      </c>
    </row>
    <row r="15" spans="1:6" x14ac:dyDescent="0.2">
      <c r="A15" t="s">
        <v>306</v>
      </c>
      <c r="B15" t="s">
        <v>727</v>
      </c>
      <c r="C15" t="s">
        <v>728</v>
      </c>
    </row>
    <row r="16" spans="1:6" x14ac:dyDescent="0.2">
      <c r="A16" t="s">
        <v>307</v>
      </c>
      <c r="B16" t="s">
        <v>729</v>
      </c>
      <c r="C16" t="s">
        <v>730</v>
      </c>
    </row>
    <row r="17" spans="1:3" x14ac:dyDescent="0.2">
      <c r="A17" t="s">
        <v>1127</v>
      </c>
      <c r="B17" t="s">
        <v>1128</v>
      </c>
      <c r="C17" t="s">
        <v>1129</v>
      </c>
    </row>
    <row r="18" spans="1:3" x14ac:dyDescent="0.2">
      <c r="A18" t="s">
        <v>293</v>
      </c>
      <c r="B18" t="s">
        <v>731</v>
      </c>
      <c r="C18" t="s">
        <v>732</v>
      </c>
    </row>
    <row r="19" spans="1:3" x14ac:dyDescent="0.2">
      <c r="A19" t="s">
        <v>294</v>
      </c>
      <c r="B19" t="s">
        <v>733</v>
      </c>
      <c r="C19" t="s">
        <v>734</v>
      </c>
    </row>
    <row r="20" spans="1:3" x14ac:dyDescent="0.2">
      <c r="A20" t="s">
        <v>295</v>
      </c>
      <c r="B20" t="s">
        <v>735</v>
      </c>
      <c r="C20" t="s">
        <v>736</v>
      </c>
    </row>
    <row r="21" spans="1:3" x14ac:dyDescent="0.2">
      <c r="A21" t="s">
        <v>296</v>
      </c>
      <c r="B21" t="s">
        <v>737</v>
      </c>
      <c r="C21" t="s">
        <v>738</v>
      </c>
    </row>
    <row r="22" spans="1:3" x14ac:dyDescent="0.2">
      <c r="A22" t="s">
        <v>297</v>
      </c>
      <c r="B22" t="s">
        <v>739</v>
      </c>
      <c r="C22" t="s">
        <v>740</v>
      </c>
    </row>
    <row r="23" spans="1:3" x14ac:dyDescent="0.2">
      <c r="A23" t="s">
        <v>313</v>
      </c>
      <c r="B23" t="s">
        <v>741</v>
      </c>
      <c r="C23" t="s">
        <v>742</v>
      </c>
    </row>
    <row r="24" spans="1:3" x14ac:dyDescent="0.2">
      <c r="A24" t="s">
        <v>314</v>
      </c>
      <c r="B24" t="s">
        <v>743</v>
      </c>
      <c r="C24" t="s">
        <v>744</v>
      </c>
    </row>
    <row r="25" spans="1:3" x14ac:dyDescent="0.2">
      <c r="A25" t="s">
        <v>315</v>
      </c>
      <c r="B25" t="s">
        <v>745</v>
      </c>
      <c r="C25" t="s">
        <v>746</v>
      </c>
    </row>
    <row r="26" spans="1:3" x14ac:dyDescent="0.2">
      <c r="A26" t="s">
        <v>316</v>
      </c>
      <c r="B26" t="s">
        <v>747</v>
      </c>
      <c r="C26" t="s">
        <v>748</v>
      </c>
    </row>
    <row r="27" spans="1:3" x14ac:dyDescent="0.2">
      <c r="A27" t="s">
        <v>317</v>
      </c>
      <c r="B27" t="s">
        <v>749</v>
      </c>
      <c r="C27" t="s">
        <v>750</v>
      </c>
    </row>
  </sheetData>
  <sheetProtection algorithmName="SHA-512" hashValue="HXr2cm6Y5tdljxnWj2cImFaS8Sykiewb+OzedjFFISY9wN1xtweea8ja2o82Iinsr0xV0JEeVv8ZLA2zoDdYww==" saltValue="9IlQq0ZWDR/wHf/aPmY9YA==" spinCount="100000" sheet="1" objects="1" scenarios="1"/>
  <sortState xmlns:xlrd2="http://schemas.microsoft.com/office/spreadsheetml/2017/richdata2" ref="A1:J25">
    <sortCondition ref="B1"/>
  </sortState>
  <phoneticPr fontId="4" type="noConversion"/>
  <dataValidations count="1">
    <dataValidation type="custom" allowBlank="1" showInputMessage="1" showErrorMessage="1" sqref="E1" xr:uid="{00000000-0002-0000-0C00-000000000000}">
      <formula1>""</formula1>
    </dataValidation>
  </dataValidations>
  <hyperlinks>
    <hyperlink ref="E1" location="NC!A1" display="1" xr:uid="{00000000-0004-0000-0C00-000000000000}"/>
  </hyperlinks>
  <pageMargins left="0.75" right="0.75" top="1" bottom="1" header="0.5" footer="0.5"/>
  <pageSetup orientation="portrait" r:id="rId1"/>
  <headerFooter alignWithMargins="0"/>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G255"/>
  <sheetViews>
    <sheetView showGridLines="0" workbookViewId="0">
      <selection activeCell="F1" sqref="F1"/>
    </sheetView>
  </sheetViews>
  <sheetFormatPr defaultColWidth="9.140625" defaultRowHeight="12.75" x14ac:dyDescent="0.2"/>
  <cols>
    <col min="1" max="1" width="8.42578125" style="3" bestFit="1" customWidth="1"/>
    <col min="2" max="2" width="57.28515625" style="3" bestFit="1" customWidth="1"/>
    <col min="3" max="3" width="56.28515625" style="3" bestFit="1" customWidth="1"/>
    <col min="4" max="4" width="81.140625" style="3" bestFit="1" customWidth="1"/>
    <col min="5" max="10" width="40.5703125" style="3" customWidth="1"/>
    <col min="11" max="16384" width="9.140625" style="3"/>
  </cols>
  <sheetData>
    <row r="1" spans="1:7" ht="18" x14ac:dyDescent="0.2">
      <c r="A1" s="57" t="s">
        <v>318</v>
      </c>
      <c r="B1" s="58" t="s">
        <v>753</v>
      </c>
      <c r="C1" s="58" t="s">
        <v>754</v>
      </c>
      <c r="D1" s="57" t="s">
        <v>855</v>
      </c>
      <c r="E1" s="59"/>
      <c r="F1" s="48">
        <v>1</v>
      </c>
      <c r="G1" s="17" t="s">
        <v>365</v>
      </c>
    </row>
    <row r="2" spans="1:7" x14ac:dyDescent="0.2">
      <c r="A2" s="60" t="s">
        <v>21</v>
      </c>
      <c r="B2" s="60" t="s">
        <v>561</v>
      </c>
      <c r="C2" s="60" t="s">
        <v>676</v>
      </c>
      <c r="D2" s="60" t="s">
        <v>22</v>
      </c>
      <c r="E2" s="59"/>
      <c r="F2" s="14"/>
    </row>
    <row r="3" spans="1:7" x14ac:dyDescent="0.2">
      <c r="A3" s="60" t="s">
        <v>24</v>
      </c>
      <c r="B3" s="60" t="s">
        <v>428</v>
      </c>
      <c r="C3" s="60" t="s">
        <v>429</v>
      </c>
      <c r="D3" s="60" t="s">
        <v>25</v>
      </c>
      <c r="E3" s="59"/>
      <c r="F3" s="14"/>
    </row>
    <row r="4" spans="1:7" x14ac:dyDescent="0.2">
      <c r="A4" s="60" t="s">
        <v>27</v>
      </c>
      <c r="B4" s="60" t="s">
        <v>537</v>
      </c>
      <c r="C4" s="60" t="s">
        <v>538</v>
      </c>
      <c r="D4" s="60" t="s">
        <v>28</v>
      </c>
      <c r="E4" s="59"/>
      <c r="F4" s="14"/>
    </row>
    <row r="5" spans="1:7" x14ac:dyDescent="0.2">
      <c r="A5" s="60" t="s">
        <v>30</v>
      </c>
      <c r="B5" s="60" t="s">
        <v>416</v>
      </c>
      <c r="C5" s="60" t="s">
        <v>417</v>
      </c>
      <c r="D5" s="60" t="s">
        <v>31</v>
      </c>
      <c r="E5" s="59"/>
      <c r="F5" s="14"/>
    </row>
    <row r="6" spans="1:7" x14ac:dyDescent="0.2">
      <c r="A6" s="60" t="s">
        <v>33</v>
      </c>
      <c r="B6" s="60" t="s">
        <v>529</v>
      </c>
      <c r="C6" s="60" t="s">
        <v>530</v>
      </c>
      <c r="D6" s="60" t="s">
        <v>34</v>
      </c>
      <c r="E6" s="59"/>
      <c r="F6" s="14"/>
    </row>
    <row r="7" spans="1:7" x14ac:dyDescent="0.2">
      <c r="A7" s="60" t="s">
        <v>36</v>
      </c>
      <c r="B7" s="60" t="s">
        <v>554</v>
      </c>
      <c r="C7" s="60" t="s">
        <v>555</v>
      </c>
      <c r="D7" s="60" t="s">
        <v>37</v>
      </c>
      <c r="E7" s="59"/>
      <c r="F7" s="14"/>
    </row>
    <row r="8" spans="1:7" x14ac:dyDescent="0.2">
      <c r="A8" s="60" t="s">
        <v>39</v>
      </c>
      <c r="B8" s="60" t="s">
        <v>431</v>
      </c>
      <c r="C8" s="60" t="s">
        <v>432</v>
      </c>
      <c r="D8" s="60" t="s">
        <v>40</v>
      </c>
      <c r="E8" s="59"/>
      <c r="F8" s="14"/>
    </row>
    <row r="9" spans="1:7" x14ac:dyDescent="0.2">
      <c r="A9" s="60" t="s">
        <v>42</v>
      </c>
      <c r="B9" s="60" t="s">
        <v>445</v>
      </c>
      <c r="C9" s="60" t="s">
        <v>446</v>
      </c>
      <c r="D9" s="60" t="s">
        <v>43</v>
      </c>
      <c r="E9" s="59"/>
      <c r="F9" s="14"/>
    </row>
    <row r="10" spans="1:7" x14ac:dyDescent="0.2">
      <c r="A10" s="60" t="s">
        <v>45</v>
      </c>
      <c r="B10" s="60" t="s">
        <v>501</v>
      </c>
      <c r="C10" s="60" t="s">
        <v>502</v>
      </c>
      <c r="D10" s="60" t="s">
        <v>46</v>
      </c>
      <c r="E10" s="59"/>
      <c r="F10" s="14"/>
    </row>
    <row r="11" spans="1:7" x14ac:dyDescent="0.2">
      <c r="A11" s="60" t="s">
        <v>860</v>
      </c>
      <c r="B11" s="60" t="s">
        <v>861</v>
      </c>
      <c r="C11" s="60" t="s">
        <v>862</v>
      </c>
      <c r="D11" s="60" t="s">
        <v>863</v>
      </c>
      <c r="E11" s="59"/>
      <c r="F11" s="14"/>
    </row>
    <row r="12" spans="1:7" x14ac:dyDescent="0.2">
      <c r="A12" s="60" t="s">
        <v>864</v>
      </c>
      <c r="B12" s="60" t="s">
        <v>865</v>
      </c>
      <c r="C12" s="60" t="s">
        <v>866</v>
      </c>
      <c r="D12" s="60" t="s">
        <v>867</v>
      </c>
      <c r="E12" s="59"/>
      <c r="F12" s="14"/>
    </row>
    <row r="13" spans="1:7" x14ac:dyDescent="0.2">
      <c r="A13" s="60" t="s">
        <v>48</v>
      </c>
      <c r="B13" s="60" t="s">
        <v>535</v>
      </c>
      <c r="C13" s="60" t="s">
        <v>536</v>
      </c>
      <c r="D13" s="60" t="s">
        <v>49</v>
      </c>
      <c r="E13" s="59"/>
      <c r="F13" s="14"/>
    </row>
    <row r="14" spans="1:7" x14ac:dyDescent="0.2">
      <c r="A14" s="60" t="s">
        <v>50</v>
      </c>
      <c r="B14" s="60" t="s">
        <v>496</v>
      </c>
      <c r="C14" s="60" t="s">
        <v>497</v>
      </c>
      <c r="D14" s="60" t="s">
        <v>51</v>
      </c>
      <c r="E14" s="59"/>
      <c r="F14" s="14"/>
    </row>
    <row r="15" spans="1:7" x14ac:dyDescent="0.2">
      <c r="A15" s="60" t="s">
        <v>53</v>
      </c>
      <c r="B15" s="60" t="s">
        <v>490</v>
      </c>
      <c r="C15" s="60" t="s">
        <v>491</v>
      </c>
      <c r="D15" s="60" t="s">
        <v>54</v>
      </c>
      <c r="E15" s="59"/>
      <c r="F15" s="14"/>
    </row>
    <row r="16" spans="1:7" x14ac:dyDescent="0.2">
      <c r="A16" s="60" t="s">
        <v>59</v>
      </c>
      <c r="B16" s="60" t="s">
        <v>435</v>
      </c>
      <c r="C16" s="60" t="s">
        <v>436</v>
      </c>
      <c r="D16" s="60" t="s">
        <v>60</v>
      </c>
      <c r="E16" s="61"/>
    </row>
    <row r="17" spans="1:5" x14ac:dyDescent="0.2">
      <c r="A17" s="60" t="s">
        <v>56</v>
      </c>
      <c r="B17" s="60" t="s">
        <v>480</v>
      </c>
      <c r="C17" s="60" t="s">
        <v>481</v>
      </c>
      <c r="D17" s="60" t="s">
        <v>57</v>
      </c>
      <c r="E17" s="55"/>
    </row>
    <row r="18" spans="1:5" x14ac:dyDescent="0.2">
      <c r="A18" s="60" t="s">
        <v>38</v>
      </c>
      <c r="B18" s="60" t="s">
        <v>462</v>
      </c>
      <c r="C18" s="60" t="s">
        <v>463</v>
      </c>
      <c r="D18" s="60" t="s">
        <v>62</v>
      </c>
      <c r="E18" s="55"/>
    </row>
    <row r="19" spans="1:5" x14ac:dyDescent="0.2">
      <c r="A19" s="60" t="s">
        <v>64</v>
      </c>
      <c r="B19" s="60" t="s">
        <v>484</v>
      </c>
      <c r="C19" s="60" t="s">
        <v>485</v>
      </c>
      <c r="D19" s="60" t="s">
        <v>65</v>
      </c>
      <c r="E19" s="55"/>
    </row>
    <row r="20" spans="1:5" x14ac:dyDescent="0.2">
      <c r="A20" s="60" t="s">
        <v>856</v>
      </c>
      <c r="B20" s="60" t="s">
        <v>857</v>
      </c>
      <c r="C20" s="60" t="s">
        <v>858</v>
      </c>
      <c r="D20" s="60" t="s">
        <v>859</v>
      </c>
      <c r="E20" s="55"/>
    </row>
    <row r="21" spans="1:5" x14ac:dyDescent="0.2">
      <c r="A21" s="60" t="s">
        <v>1099</v>
      </c>
      <c r="B21" s="60" t="s">
        <v>1100</v>
      </c>
      <c r="C21" s="60" t="s">
        <v>1225</v>
      </c>
      <c r="D21" s="60" t="s">
        <v>1226</v>
      </c>
      <c r="E21" s="55"/>
    </row>
    <row r="22" spans="1:5" x14ac:dyDescent="0.2">
      <c r="A22" s="60" t="s">
        <v>66</v>
      </c>
      <c r="B22" s="60" t="s">
        <v>418</v>
      </c>
      <c r="C22" s="60" t="s">
        <v>419</v>
      </c>
      <c r="D22" s="60" t="s">
        <v>67</v>
      </c>
      <c r="E22" s="55"/>
    </row>
    <row r="23" spans="1:5" x14ac:dyDescent="0.2">
      <c r="A23" s="60" t="s">
        <v>69</v>
      </c>
      <c r="B23" s="60" t="s">
        <v>420</v>
      </c>
      <c r="C23" s="60" t="s">
        <v>421</v>
      </c>
      <c r="D23" s="60" t="s">
        <v>70</v>
      </c>
      <c r="E23" s="55"/>
    </row>
    <row r="24" spans="1:5" x14ac:dyDescent="0.2">
      <c r="A24" s="60" t="s">
        <v>145</v>
      </c>
      <c r="B24" s="60" t="s">
        <v>424</v>
      </c>
      <c r="C24" s="60" t="s">
        <v>425</v>
      </c>
      <c r="D24" s="60" t="s">
        <v>146</v>
      </c>
      <c r="E24" s="55"/>
    </row>
    <row r="25" spans="1:5" x14ac:dyDescent="0.2">
      <c r="A25" s="60" t="s">
        <v>124</v>
      </c>
      <c r="B25" s="60" t="s">
        <v>433</v>
      </c>
      <c r="C25" s="60" t="s">
        <v>434</v>
      </c>
      <c r="D25" s="60" t="s">
        <v>125</v>
      </c>
      <c r="E25" s="55"/>
    </row>
    <row r="26" spans="1:5" x14ac:dyDescent="0.2">
      <c r="A26" s="60" t="s">
        <v>133</v>
      </c>
      <c r="B26" s="60" t="s">
        <v>438</v>
      </c>
      <c r="C26" s="60" t="s">
        <v>439</v>
      </c>
      <c r="D26" s="60" t="s">
        <v>134</v>
      </c>
      <c r="E26" s="55"/>
    </row>
    <row r="27" spans="1:5" x14ac:dyDescent="0.2">
      <c r="A27" s="60" t="s">
        <v>72</v>
      </c>
      <c r="B27" s="60" t="s">
        <v>440</v>
      </c>
      <c r="C27" s="60" t="s">
        <v>441</v>
      </c>
      <c r="D27" s="60" t="s">
        <v>73</v>
      </c>
      <c r="E27" s="55"/>
    </row>
    <row r="28" spans="1:5" x14ac:dyDescent="0.2">
      <c r="A28" s="60" t="s">
        <v>1406</v>
      </c>
      <c r="B28" s="60" t="s">
        <v>1407</v>
      </c>
      <c r="C28" s="60" t="s">
        <v>1408</v>
      </c>
      <c r="D28" s="60" t="s">
        <v>1409</v>
      </c>
      <c r="E28" s="55"/>
    </row>
    <row r="29" spans="1:5" x14ac:dyDescent="0.2">
      <c r="A29" s="60" t="s">
        <v>75</v>
      </c>
      <c r="B29" s="60" t="s">
        <v>442</v>
      </c>
      <c r="C29" s="60" t="s">
        <v>925</v>
      </c>
      <c r="D29" s="60" t="s">
        <v>76</v>
      </c>
      <c r="E29" s="55"/>
    </row>
    <row r="30" spans="1:5" x14ac:dyDescent="0.2">
      <c r="A30" s="60" t="s">
        <v>1410</v>
      </c>
      <c r="B30" s="60" t="s">
        <v>1411</v>
      </c>
      <c r="C30" s="60" t="s">
        <v>1412</v>
      </c>
      <c r="D30" s="60" t="s">
        <v>1413</v>
      </c>
      <c r="E30" s="55"/>
    </row>
    <row r="31" spans="1:5" x14ac:dyDescent="0.2">
      <c r="A31" s="60" t="s">
        <v>1414</v>
      </c>
      <c r="B31" s="60" t="s">
        <v>1415</v>
      </c>
      <c r="C31" s="60" t="s">
        <v>1416</v>
      </c>
      <c r="D31" s="60" t="s">
        <v>180</v>
      </c>
      <c r="E31" s="55"/>
    </row>
    <row r="32" spans="1:5" x14ac:dyDescent="0.2">
      <c r="A32" s="60" t="s">
        <v>194</v>
      </c>
      <c r="B32" s="60" t="s">
        <v>447</v>
      </c>
      <c r="C32" s="60" t="s">
        <v>448</v>
      </c>
      <c r="D32" s="60" t="s">
        <v>195</v>
      </c>
      <c r="E32" s="55"/>
    </row>
    <row r="33" spans="1:5" x14ac:dyDescent="0.2">
      <c r="A33" s="60" t="s">
        <v>1016</v>
      </c>
      <c r="B33" s="60" t="s">
        <v>1017</v>
      </c>
      <c r="C33" s="60" t="s">
        <v>1018</v>
      </c>
      <c r="D33" s="60" t="s">
        <v>1019</v>
      </c>
      <c r="E33" s="55"/>
    </row>
    <row r="34" spans="1:5" x14ac:dyDescent="0.2">
      <c r="A34" s="60" t="s">
        <v>139</v>
      </c>
      <c r="B34" s="60" t="s">
        <v>449</v>
      </c>
      <c r="C34" s="60" t="s">
        <v>450</v>
      </c>
      <c r="D34" s="60" t="s">
        <v>140</v>
      </c>
      <c r="E34" s="56"/>
    </row>
    <row r="35" spans="1:5" x14ac:dyDescent="0.2">
      <c r="A35" s="60" t="s">
        <v>127</v>
      </c>
      <c r="B35" s="60" t="s">
        <v>451</v>
      </c>
      <c r="C35" s="60" t="s">
        <v>452</v>
      </c>
      <c r="D35" s="60" t="s">
        <v>128</v>
      </c>
      <c r="E35" s="55"/>
    </row>
    <row r="36" spans="1:5" x14ac:dyDescent="0.2">
      <c r="A36" s="60" t="s">
        <v>148</v>
      </c>
      <c r="B36" s="60" t="s">
        <v>453</v>
      </c>
      <c r="C36" s="60" t="s">
        <v>1227</v>
      </c>
      <c r="D36" s="60" t="s">
        <v>149</v>
      </c>
      <c r="E36" s="55"/>
    </row>
    <row r="37" spans="1:5" x14ac:dyDescent="0.2">
      <c r="A37" s="60" t="s">
        <v>78</v>
      </c>
      <c r="B37" s="60" t="s">
        <v>454</v>
      </c>
      <c r="C37" s="60" t="s">
        <v>455</v>
      </c>
      <c r="D37" s="60" t="s">
        <v>79</v>
      </c>
      <c r="E37" s="55"/>
    </row>
    <row r="38" spans="1:5" x14ac:dyDescent="0.2">
      <c r="A38" s="60" t="s">
        <v>182</v>
      </c>
      <c r="B38" s="60" t="s">
        <v>456</v>
      </c>
      <c r="C38" s="60" t="s">
        <v>457</v>
      </c>
      <c r="D38" s="60" t="s">
        <v>183</v>
      </c>
      <c r="E38" s="55"/>
    </row>
    <row r="39" spans="1:5" x14ac:dyDescent="0.2">
      <c r="A39" s="60" t="s">
        <v>1101</v>
      </c>
      <c r="B39" s="60" t="s">
        <v>1102</v>
      </c>
      <c r="C39" s="60" t="s">
        <v>1103</v>
      </c>
      <c r="D39" s="60" t="s">
        <v>1104</v>
      </c>
      <c r="E39" s="55"/>
    </row>
    <row r="40" spans="1:5" x14ac:dyDescent="0.2">
      <c r="A40" s="60" t="s">
        <v>168</v>
      </c>
      <c r="B40" s="60" t="s">
        <v>458</v>
      </c>
      <c r="C40" s="60" t="s">
        <v>1228</v>
      </c>
      <c r="D40" s="60" t="s">
        <v>169</v>
      </c>
      <c r="E40" s="55"/>
    </row>
    <row r="41" spans="1:5" x14ac:dyDescent="0.2">
      <c r="A41" s="60" t="s">
        <v>165</v>
      </c>
      <c r="B41" s="60" t="s">
        <v>461</v>
      </c>
      <c r="C41" s="60" t="s">
        <v>1229</v>
      </c>
      <c r="D41" s="60" t="s">
        <v>166</v>
      </c>
      <c r="E41" s="55"/>
    </row>
    <row r="42" spans="1:5" x14ac:dyDescent="0.2">
      <c r="A42" s="60" t="s">
        <v>154</v>
      </c>
      <c r="B42" s="60" t="s">
        <v>464</v>
      </c>
      <c r="C42" s="60" t="s">
        <v>1230</v>
      </c>
      <c r="D42" s="60" t="s">
        <v>155</v>
      </c>
      <c r="E42" s="55"/>
    </row>
    <row r="43" spans="1:5" x14ac:dyDescent="0.2">
      <c r="A43" s="60" t="s">
        <v>1417</v>
      </c>
      <c r="B43" s="60" t="s">
        <v>1418</v>
      </c>
      <c r="C43" s="60" t="s">
        <v>1419</v>
      </c>
      <c r="D43" s="60" t="s">
        <v>1420</v>
      </c>
      <c r="E43" s="55"/>
    </row>
    <row r="44" spans="1:5" x14ac:dyDescent="0.2">
      <c r="A44" s="60" t="s">
        <v>1421</v>
      </c>
      <c r="B44" s="60" t="s">
        <v>1422</v>
      </c>
      <c r="C44" s="60" t="s">
        <v>1423</v>
      </c>
      <c r="D44" s="60" t="s">
        <v>1424</v>
      </c>
      <c r="E44" s="55"/>
    </row>
    <row r="45" spans="1:5" x14ac:dyDescent="0.2">
      <c r="A45" s="60" t="s">
        <v>157</v>
      </c>
      <c r="B45" s="60" t="s">
        <v>465</v>
      </c>
      <c r="C45" s="60" t="s">
        <v>1231</v>
      </c>
      <c r="D45" s="60" t="s">
        <v>158</v>
      </c>
      <c r="E45" s="55"/>
    </row>
    <row r="46" spans="1:5" x14ac:dyDescent="0.2">
      <c r="A46" s="60" t="s">
        <v>159</v>
      </c>
      <c r="B46" s="60" t="s">
        <v>470</v>
      </c>
      <c r="C46" s="60" t="s">
        <v>471</v>
      </c>
      <c r="D46" s="60" t="s">
        <v>160</v>
      </c>
      <c r="E46" s="55"/>
    </row>
    <row r="47" spans="1:5" x14ac:dyDescent="0.2">
      <c r="A47" s="60" t="s">
        <v>136</v>
      </c>
      <c r="B47" s="60" t="s">
        <v>474</v>
      </c>
      <c r="C47" s="60" t="s">
        <v>475</v>
      </c>
      <c r="D47" s="60" t="s">
        <v>137</v>
      </c>
      <c r="E47" s="55"/>
    </row>
    <row r="48" spans="1:5" x14ac:dyDescent="0.2">
      <c r="A48" s="60" t="s">
        <v>1425</v>
      </c>
      <c r="B48" s="60" t="s">
        <v>1426</v>
      </c>
      <c r="C48" s="60" t="s">
        <v>1427</v>
      </c>
      <c r="D48" s="60" t="s">
        <v>1428</v>
      </c>
      <c r="E48" s="55"/>
    </row>
    <row r="49" spans="1:5" x14ac:dyDescent="0.2">
      <c r="A49" s="60" t="s">
        <v>81</v>
      </c>
      <c r="B49" s="60" t="s">
        <v>478</v>
      </c>
      <c r="C49" s="60" t="s">
        <v>479</v>
      </c>
      <c r="D49" s="60" t="s">
        <v>82</v>
      </c>
      <c r="E49" s="55"/>
    </row>
    <row r="50" spans="1:5" x14ac:dyDescent="0.2">
      <c r="A50" s="60" t="s">
        <v>188</v>
      </c>
      <c r="B50" s="60" t="s">
        <v>482</v>
      </c>
      <c r="C50" s="60" t="s">
        <v>483</v>
      </c>
      <c r="D50" s="60" t="s">
        <v>189</v>
      </c>
      <c r="E50" s="55"/>
    </row>
    <row r="51" spans="1:5" x14ac:dyDescent="0.2">
      <c r="A51" s="60" t="s">
        <v>1020</v>
      </c>
      <c r="B51" s="60" t="s">
        <v>1021</v>
      </c>
      <c r="C51" s="60" t="s">
        <v>1022</v>
      </c>
      <c r="D51" s="60" t="s">
        <v>1023</v>
      </c>
      <c r="E51" s="55"/>
    </row>
    <row r="52" spans="1:5" x14ac:dyDescent="0.2">
      <c r="A52" s="60" t="s">
        <v>1429</v>
      </c>
      <c r="B52" s="60" t="s">
        <v>1430</v>
      </c>
      <c r="C52" s="60" t="s">
        <v>1431</v>
      </c>
      <c r="D52" s="60" t="s">
        <v>1432</v>
      </c>
      <c r="E52" s="55"/>
    </row>
    <row r="53" spans="1:5" x14ac:dyDescent="0.2">
      <c r="A53" s="60" t="s">
        <v>1266</v>
      </c>
      <c r="B53" s="60" t="s">
        <v>1267</v>
      </c>
      <c r="C53" s="60" t="s">
        <v>1268</v>
      </c>
      <c r="D53" s="60" t="s">
        <v>1269</v>
      </c>
      <c r="E53" s="55"/>
    </row>
    <row r="54" spans="1:5" x14ac:dyDescent="0.2">
      <c r="A54" s="60" t="s">
        <v>1433</v>
      </c>
      <c r="B54" s="60" t="s">
        <v>1434</v>
      </c>
      <c r="C54" s="60" t="s">
        <v>1435</v>
      </c>
      <c r="D54" s="60" t="s">
        <v>120</v>
      </c>
      <c r="E54" s="55"/>
    </row>
    <row r="55" spans="1:5" x14ac:dyDescent="0.2">
      <c r="A55" s="60" t="s">
        <v>1105</v>
      </c>
      <c r="B55" s="60" t="s">
        <v>1106</v>
      </c>
      <c r="C55" s="60" t="s">
        <v>1107</v>
      </c>
      <c r="D55" s="60" t="s">
        <v>1108</v>
      </c>
      <c r="E55" s="55"/>
    </row>
    <row r="56" spans="1:5" x14ac:dyDescent="0.2">
      <c r="A56" s="60" t="s">
        <v>1109</v>
      </c>
      <c r="B56" s="60" t="s">
        <v>1110</v>
      </c>
      <c r="C56" s="60" t="s">
        <v>1110</v>
      </c>
      <c r="D56" s="60" t="s">
        <v>1111</v>
      </c>
      <c r="E56" s="55"/>
    </row>
    <row r="57" spans="1:5" x14ac:dyDescent="0.2">
      <c r="A57" s="60" t="s">
        <v>209</v>
      </c>
      <c r="B57" s="60" t="s">
        <v>486</v>
      </c>
      <c r="C57" s="60" t="s">
        <v>486</v>
      </c>
      <c r="D57" s="60" t="s">
        <v>210</v>
      </c>
      <c r="E57" s="55"/>
    </row>
    <row r="58" spans="1:5" x14ac:dyDescent="0.2">
      <c r="A58" s="60" t="s">
        <v>203</v>
      </c>
      <c r="B58" s="60" t="s">
        <v>487</v>
      </c>
      <c r="C58" s="60" t="s">
        <v>1232</v>
      </c>
      <c r="D58" s="60" t="s">
        <v>204</v>
      </c>
      <c r="E58" s="55"/>
    </row>
    <row r="59" spans="1:5" x14ac:dyDescent="0.2">
      <c r="A59" s="60" t="s">
        <v>1436</v>
      </c>
      <c r="B59" s="60" t="s">
        <v>1437</v>
      </c>
      <c r="C59" s="60" t="s">
        <v>1438</v>
      </c>
      <c r="D59" s="60" t="s">
        <v>1439</v>
      </c>
      <c r="E59" s="55"/>
    </row>
    <row r="60" spans="1:5" x14ac:dyDescent="0.2">
      <c r="A60" s="60" t="s">
        <v>84</v>
      </c>
      <c r="B60" s="60" t="s">
        <v>494</v>
      </c>
      <c r="C60" s="60" t="s">
        <v>495</v>
      </c>
      <c r="D60" s="60" t="s">
        <v>85</v>
      </c>
      <c r="E60" s="55"/>
    </row>
    <row r="61" spans="1:5" x14ac:dyDescent="0.2">
      <c r="A61" s="60" t="s">
        <v>1270</v>
      </c>
      <c r="B61" s="60" t="s">
        <v>1271</v>
      </c>
      <c r="C61" s="60" t="s">
        <v>1272</v>
      </c>
      <c r="D61" s="60" t="s">
        <v>1273</v>
      </c>
      <c r="E61" s="55"/>
    </row>
    <row r="62" spans="1:5" x14ac:dyDescent="0.2">
      <c r="A62" s="60" t="s">
        <v>1440</v>
      </c>
      <c r="B62" s="60" t="s">
        <v>1441</v>
      </c>
      <c r="C62" s="60" t="s">
        <v>1442</v>
      </c>
      <c r="D62" s="60" t="s">
        <v>1443</v>
      </c>
      <c r="E62" s="55"/>
    </row>
    <row r="63" spans="1:5" x14ac:dyDescent="0.2">
      <c r="A63" s="60" t="s">
        <v>1444</v>
      </c>
      <c r="B63" s="60" t="s">
        <v>1445</v>
      </c>
      <c r="C63" s="60" t="s">
        <v>1446</v>
      </c>
      <c r="D63" s="60" t="s">
        <v>1447</v>
      </c>
      <c r="E63" s="55"/>
    </row>
    <row r="64" spans="1:5" x14ac:dyDescent="0.2">
      <c r="A64" s="60" t="s">
        <v>118</v>
      </c>
      <c r="B64" s="60" t="s">
        <v>503</v>
      </c>
      <c r="C64" s="60" t="s">
        <v>1274</v>
      </c>
      <c r="D64" s="60" t="s">
        <v>119</v>
      </c>
      <c r="E64" s="55"/>
    </row>
    <row r="65" spans="1:5" x14ac:dyDescent="0.2">
      <c r="A65" s="60" t="s">
        <v>1448</v>
      </c>
      <c r="B65" s="60" t="s">
        <v>1449</v>
      </c>
      <c r="C65" s="60" t="s">
        <v>1450</v>
      </c>
      <c r="D65" s="60" t="s">
        <v>1451</v>
      </c>
      <c r="E65" s="56"/>
    </row>
    <row r="66" spans="1:5" x14ac:dyDescent="0.2">
      <c r="A66" s="60" t="s">
        <v>130</v>
      </c>
      <c r="B66" s="60" t="s">
        <v>504</v>
      </c>
      <c r="C66" s="60" t="s">
        <v>505</v>
      </c>
      <c r="D66" s="60" t="s">
        <v>131</v>
      </c>
      <c r="E66" s="55"/>
    </row>
    <row r="67" spans="1:5" x14ac:dyDescent="0.2">
      <c r="A67" s="60" t="s">
        <v>87</v>
      </c>
      <c r="B67" s="60" t="s">
        <v>506</v>
      </c>
      <c r="C67" s="60" t="s">
        <v>507</v>
      </c>
      <c r="D67" s="60" t="s">
        <v>88</v>
      </c>
      <c r="E67" s="55"/>
    </row>
    <row r="68" spans="1:5" x14ac:dyDescent="0.2">
      <c r="A68" s="60" t="s">
        <v>121</v>
      </c>
      <c r="B68" s="60" t="s">
        <v>508</v>
      </c>
      <c r="C68" s="60" t="s">
        <v>1233</v>
      </c>
      <c r="D68" s="60" t="s">
        <v>122</v>
      </c>
      <c r="E68" s="55"/>
    </row>
    <row r="69" spans="1:5" x14ac:dyDescent="0.2">
      <c r="A69" s="60" t="s">
        <v>1452</v>
      </c>
      <c r="B69" s="60" t="s">
        <v>1453</v>
      </c>
      <c r="C69" s="60" t="s">
        <v>1454</v>
      </c>
      <c r="D69" s="60" t="s">
        <v>1455</v>
      </c>
      <c r="E69" s="55"/>
    </row>
    <row r="70" spans="1:5" x14ac:dyDescent="0.2">
      <c r="A70" s="60" t="s">
        <v>162</v>
      </c>
      <c r="B70" s="60" t="s">
        <v>510</v>
      </c>
      <c r="C70" s="60" t="s">
        <v>1234</v>
      </c>
      <c r="D70" s="60" t="s">
        <v>163</v>
      </c>
      <c r="E70" s="55"/>
    </row>
    <row r="71" spans="1:5" x14ac:dyDescent="0.2">
      <c r="A71" s="60" t="s">
        <v>142</v>
      </c>
      <c r="B71" s="60" t="s">
        <v>511</v>
      </c>
      <c r="C71" s="60" t="s">
        <v>1235</v>
      </c>
      <c r="D71" s="60" t="s">
        <v>143</v>
      </c>
      <c r="E71" s="55"/>
    </row>
    <row r="72" spans="1:5" x14ac:dyDescent="0.2">
      <c r="A72" s="60" t="s">
        <v>185</v>
      </c>
      <c r="B72" s="60" t="s">
        <v>512</v>
      </c>
      <c r="C72" s="60" t="s">
        <v>1236</v>
      </c>
      <c r="D72" s="60" t="s">
        <v>186</v>
      </c>
      <c r="E72" s="55"/>
    </row>
    <row r="73" spans="1:5" x14ac:dyDescent="0.2">
      <c r="A73" s="60" t="s">
        <v>200</v>
      </c>
      <c r="B73" s="60" t="s">
        <v>513</v>
      </c>
      <c r="C73" s="60" t="s">
        <v>1237</v>
      </c>
      <c r="D73" s="60" t="s">
        <v>201</v>
      </c>
      <c r="E73" s="55"/>
    </row>
    <row r="74" spans="1:5" x14ac:dyDescent="0.2">
      <c r="A74" s="60" t="s">
        <v>115</v>
      </c>
      <c r="B74" s="60" t="s">
        <v>514</v>
      </c>
      <c r="C74" s="60" t="s">
        <v>924</v>
      </c>
      <c r="D74" s="60" t="s">
        <v>116</v>
      </c>
      <c r="E74" s="55"/>
    </row>
    <row r="75" spans="1:5" x14ac:dyDescent="0.2">
      <c r="A75" s="60" t="s">
        <v>1275</v>
      </c>
      <c r="B75" s="60" t="s">
        <v>1276</v>
      </c>
      <c r="C75" s="60" t="s">
        <v>1277</v>
      </c>
      <c r="D75" s="60" t="s">
        <v>1278</v>
      </c>
      <c r="E75" s="55"/>
    </row>
    <row r="76" spans="1:5" x14ac:dyDescent="0.2">
      <c r="A76" s="60" t="s">
        <v>90</v>
      </c>
      <c r="B76" s="60" t="s">
        <v>515</v>
      </c>
      <c r="C76" s="60" t="s">
        <v>516</v>
      </c>
      <c r="D76" s="60" t="s">
        <v>91</v>
      </c>
      <c r="E76" s="55"/>
    </row>
    <row r="77" spans="1:5" x14ac:dyDescent="0.2">
      <c r="A77" s="60" t="s">
        <v>93</v>
      </c>
      <c r="B77" s="60" t="s">
        <v>517</v>
      </c>
      <c r="C77" s="60" t="s">
        <v>518</v>
      </c>
      <c r="D77" s="60" t="s">
        <v>94</v>
      </c>
      <c r="E77" s="56"/>
    </row>
    <row r="78" spans="1:5" x14ac:dyDescent="0.2">
      <c r="A78" s="60" t="s">
        <v>96</v>
      </c>
      <c r="B78" s="60" t="s">
        <v>519</v>
      </c>
      <c r="C78" s="60" t="s">
        <v>926</v>
      </c>
      <c r="D78" s="60" t="s">
        <v>97</v>
      </c>
      <c r="E78" s="55"/>
    </row>
    <row r="79" spans="1:5" x14ac:dyDescent="0.2">
      <c r="A79" s="60" t="s">
        <v>197</v>
      </c>
      <c r="B79" s="60" t="s">
        <v>522</v>
      </c>
      <c r="C79" s="60" t="s">
        <v>929</v>
      </c>
      <c r="D79" s="60" t="s">
        <v>198</v>
      </c>
      <c r="E79" s="55"/>
    </row>
    <row r="80" spans="1:5" x14ac:dyDescent="0.2">
      <c r="A80" s="60" t="s">
        <v>98</v>
      </c>
      <c r="B80" s="60" t="s">
        <v>523</v>
      </c>
      <c r="C80" s="60" t="s">
        <v>1238</v>
      </c>
      <c r="D80" s="60" t="s">
        <v>99</v>
      </c>
      <c r="E80" s="55"/>
    </row>
    <row r="81" spans="1:5" x14ac:dyDescent="0.2">
      <c r="A81" s="60" t="s">
        <v>1456</v>
      </c>
      <c r="B81" s="60" t="s">
        <v>1457</v>
      </c>
      <c r="C81" s="60" t="s">
        <v>1458</v>
      </c>
      <c r="D81" s="60" t="s">
        <v>1459</v>
      </c>
      <c r="E81" s="55"/>
    </row>
    <row r="82" spans="1:5" x14ac:dyDescent="0.2">
      <c r="A82" s="60" t="s">
        <v>113</v>
      </c>
      <c r="B82" s="60" t="s">
        <v>1460</v>
      </c>
      <c r="C82" s="60" t="s">
        <v>930</v>
      </c>
      <c r="D82" s="60" t="s">
        <v>1461</v>
      </c>
      <c r="E82" s="55"/>
    </row>
    <row r="83" spans="1:5" x14ac:dyDescent="0.2">
      <c r="A83" s="60" t="s">
        <v>213</v>
      </c>
      <c r="B83" s="60" t="s">
        <v>524</v>
      </c>
      <c r="C83" s="60" t="s">
        <v>524</v>
      </c>
      <c r="D83" s="60" t="s">
        <v>214</v>
      </c>
      <c r="E83" s="55"/>
    </row>
    <row r="84" spans="1:5" x14ac:dyDescent="0.2">
      <c r="A84" s="60" t="s">
        <v>1462</v>
      </c>
      <c r="B84" s="60" t="s">
        <v>1463</v>
      </c>
      <c r="C84" s="60" t="s">
        <v>1463</v>
      </c>
      <c r="D84" s="60" t="s">
        <v>1464</v>
      </c>
      <c r="E84" s="55"/>
    </row>
    <row r="85" spans="1:5" x14ac:dyDescent="0.2">
      <c r="A85" s="60" t="s">
        <v>1368</v>
      </c>
      <c r="B85" s="60" t="s">
        <v>1465</v>
      </c>
      <c r="C85" s="60" t="s">
        <v>1465</v>
      </c>
      <c r="D85" s="60" t="s">
        <v>1369</v>
      </c>
      <c r="E85" s="56"/>
    </row>
    <row r="86" spans="1:5" x14ac:dyDescent="0.2">
      <c r="A86" s="60" t="s">
        <v>216</v>
      </c>
      <c r="B86" s="60" t="s">
        <v>1466</v>
      </c>
      <c r="C86" s="60" t="s">
        <v>1466</v>
      </c>
      <c r="D86" s="60" t="s">
        <v>217</v>
      </c>
      <c r="E86" s="56"/>
    </row>
    <row r="87" spans="1:5" x14ac:dyDescent="0.2">
      <c r="A87" s="60" t="s">
        <v>1467</v>
      </c>
      <c r="B87" s="60" t="s">
        <v>1468</v>
      </c>
      <c r="C87" s="60" t="s">
        <v>1469</v>
      </c>
      <c r="D87" s="60" t="s">
        <v>1470</v>
      </c>
      <c r="E87" s="55"/>
    </row>
    <row r="88" spans="1:5" x14ac:dyDescent="0.2">
      <c r="A88" s="60" t="s">
        <v>1279</v>
      </c>
      <c r="B88" s="60" t="s">
        <v>1280</v>
      </c>
      <c r="C88" s="60" t="s">
        <v>1281</v>
      </c>
      <c r="D88" s="60" t="s">
        <v>953</v>
      </c>
      <c r="E88" s="55"/>
    </row>
    <row r="89" spans="1:5" x14ac:dyDescent="0.2">
      <c r="A89" s="60" t="s">
        <v>206</v>
      </c>
      <c r="B89" s="60" t="s">
        <v>531</v>
      </c>
      <c r="C89" s="60" t="s">
        <v>532</v>
      </c>
      <c r="D89" s="60" t="s">
        <v>207</v>
      </c>
      <c r="E89" s="55"/>
    </row>
    <row r="90" spans="1:5" x14ac:dyDescent="0.2">
      <c r="A90" s="60" t="s">
        <v>151</v>
      </c>
      <c r="B90" s="60" t="s">
        <v>533</v>
      </c>
      <c r="C90" s="60" t="s">
        <v>534</v>
      </c>
      <c r="D90" s="60" t="s">
        <v>152</v>
      </c>
      <c r="E90" s="55"/>
    </row>
    <row r="91" spans="1:5" x14ac:dyDescent="0.2">
      <c r="A91" s="60" t="s">
        <v>177</v>
      </c>
      <c r="B91" s="60" t="s">
        <v>539</v>
      </c>
      <c r="C91" s="60" t="s">
        <v>1239</v>
      </c>
      <c r="D91" s="60" t="s">
        <v>178</v>
      </c>
      <c r="E91" s="55"/>
    </row>
    <row r="92" spans="1:5" x14ac:dyDescent="0.2">
      <c r="A92" s="60" t="s">
        <v>101</v>
      </c>
      <c r="B92" s="60" t="s">
        <v>540</v>
      </c>
      <c r="C92" s="60" t="s">
        <v>541</v>
      </c>
      <c r="D92" s="60" t="s">
        <v>102</v>
      </c>
      <c r="E92" s="55"/>
    </row>
    <row r="93" spans="1:5" x14ac:dyDescent="0.2">
      <c r="A93" s="60" t="s">
        <v>174</v>
      </c>
      <c r="B93" s="60" t="s">
        <v>542</v>
      </c>
      <c r="C93" s="60" t="s">
        <v>927</v>
      </c>
      <c r="D93" s="60" t="s">
        <v>175</v>
      </c>
      <c r="E93" s="55"/>
    </row>
    <row r="94" spans="1:5" x14ac:dyDescent="0.2">
      <c r="A94" s="60" t="s">
        <v>1039</v>
      </c>
      <c r="B94" s="60" t="s">
        <v>1040</v>
      </c>
      <c r="C94" s="60" t="s">
        <v>1041</v>
      </c>
      <c r="D94" s="60" t="s">
        <v>1042</v>
      </c>
      <c r="E94" s="55"/>
    </row>
    <row r="95" spans="1:5" x14ac:dyDescent="0.2">
      <c r="A95" s="60" t="s">
        <v>104</v>
      </c>
      <c r="B95" s="60" t="s">
        <v>545</v>
      </c>
      <c r="C95" s="60" t="s">
        <v>546</v>
      </c>
      <c r="D95" s="60" t="s">
        <v>105</v>
      </c>
      <c r="E95" s="55"/>
    </row>
    <row r="96" spans="1:5" x14ac:dyDescent="0.2">
      <c r="A96" s="60" t="s">
        <v>171</v>
      </c>
      <c r="B96" s="60" t="s">
        <v>547</v>
      </c>
      <c r="C96" s="60" t="s">
        <v>548</v>
      </c>
      <c r="D96" s="60" t="s">
        <v>172</v>
      </c>
      <c r="E96" s="55"/>
    </row>
    <row r="97" spans="1:5" x14ac:dyDescent="0.2">
      <c r="A97" s="60" t="s">
        <v>191</v>
      </c>
      <c r="B97" s="60" t="s">
        <v>551</v>
      </c>
      <c r="C97" s="60" t="s">
        <v>928</v>
      </c>
      <c r="D97" s="60" t="s">
        <v>192</v>
      </c>
      <c r="E97" s="55"/>
    </row>
    <row r="98" spans="1:5" x14ac:dyDescent="0.2">
      <c r="A98" s="60" t="s">
        <v>1471</v>
      </c>
      <c r="B98" s="60" t="s">
        <v>1472</v>
      </c>
      <c r="C98" s="60" t="s">
        <v>1473</v>
      </c>
      <c r="D98" s="60" t="s">
        <v>1474</v>
      </c>
      <c r="E98" s="55"/>
    </row>
    <row r="99" spans="1:5" x14ac:dyDescent="0.2">
      <c r="A99" s="60" t="s">
        <v>1475</v>
      </c>
      <c r="B99" s="60" t="s">
        <v>1476</v>
      </c>
      <c r="C99" s="60" t="s">
        <v>1477</v>
      </c>
      <c r="D99" s="60" t="s">
        <v>1478</v>
      </c>
      <c r="E99" s="55"/>
    </row>
    <row r="100" spans="1:5" x14ac:dyDescent="0.2">
      <c r="A100" s="60" t="s">
        <v>107</v>
      </c>
      <c r="B100" s="60" t="s">
        <v>557</v>
      </c>
      <c r="C100" s="60" t="s">
        <v>558</v>
      </c>
      <c r="D100" s="60" t="s">
        <v>108</v>
      </c>
      <c r="E100" s="55"/>
    </row>
    <row r="101" spans="1:5" x14ac:dyDescent="0.2">
      <c r="A101" s="60" t="s">
        <v>1047</v>
      </c>
      <c r="B101" s="60" t="s">
        <v>1048</v>
      </c>
      <c r="C101" s="60" t="s">
        <v>1049</v>
      </c>
      <c r="D101" s="60" t="s">
        <v>1050</v>
      </c>
      <c r="E101" s="55"/>
    </row>
    <row r="102" spans="1:5" x14ac:dyDescent="0.2">
      <c r="A102" s="60" t="s">
        <v>1112</v>
      </c>
      <c r="B102" s="60" t="s">
        <v>1113</v>
      </c>
      <c r="C102" s="60" t="s">
        <v>1114</v>
      </c>
      <c r="D102" s="60" t="s">
        <v>1111</v>
      </c>
      <c r="E102" s="55"/>
    </row>
    <row r="103" spans="1:5" x14ac:dyDescent="0.2">
      <c r="A103" s="60" t="s">
        <v>1479</v>
      </c>
      <c r="B103" s="60" t="s">
        <v>1480</v>
      </c>
      <c r="C103" s="60" t="s">
        <v>1481</v>
      </c>
      <c r="D103" s="60" t="s">
        <v>1482</v>
      </c>
      <c r="E103" s="55"/>
    </row>
    <row r="104" spans="1:5" x14ac:dyDescent="0.2">
      <c r="A104" s="60" t="s">
        <v>110</v>
      </c>
      <c r="B104" s="60" t="s">
        <v>560</v>
      </c>
      <c r="C104" s="60" t="s">
        <v>1240</v>
      </c>
      <c r="D104" s="60" t="s">
        <v>111</v>
      </c>
      <c r="E104" s="55"/>
    </row>
    <row r="105" spans="1:5" x14ac:dyDescent="0.2">
      <c r="A105" s="60" t="s">
        <v>1095</v>
      </c>
      <c r="B105" s="60" t="s">
        <v>1096</v>
      </c>
      <c r="C105" s="60" t="s">
        <v>1097</v>
      </c>
      <c r="D105" s="60" t="s">
        <v>1098</v>
      </c>
      <c r="E105" s="55"/>
    </row>
    <row r="106" spans="1:5" x14ac:dyDescent="0.2">
      <c r="A106" s="60" t="s">
        <v>1069</v>
      </c>
      <c r="B106" s="60" t="s">
        <v>1070</v>
      </c>
      <c r="C106" s="60" t="s">
        <v>1070</v>
      </c>
      <c r="D106" s="60" t="s">
        <v>1071</v>
      </c>
      <c r="E106" s="55"/>
    </row>
    <row r="107" spans="1:5" x14ac:dyDescent="0.2">
      <c r="A107" s="60" t="s">
        <v>1055</v>
      </c>
      <c r="B107" s="60" t="s">
        <v>1056</v>
      </c>
      <c r="C107" s="60" t="s">
        <v>1241</v>
      </c>
      <c r="D107" s="60" t="s">
        <v>1057</v>
      </c>
      <c r="E107" s="55"/>
    </row>
    <row r="108" spans="1:5" x14ac:dyDescent="0.2">
      <c r="A108" s="60" t="s">
        <v>242</v>
      </c>
      <c r="B108" s="60" t="s">
        <v>422</v>
      </c>
      <c r="C108" s="60" t="s">
        <v>423</v>
      </c>
      <c r="D108" s="60" t="s">
        <v>243</v>
      </c>
      <c r="E108" s="55"/>
    </row>
    <row r="109" spans="1:5" x14ac:dyDescent="0.2">
      <c r="A109" s="60" t="s">
        <v>1072</v>
      </c>
      <c r="B109" s="60" t="s">
        <v>1073</v>
      </c>
      <c r="C109" s="60" t="s">
        <v>1074</v>
      </c>
      <c r="D109" s="60" t="s">
        <v>1075</v>
      </c>
      <c r="E109" s="55"/>
    </row>
    <row r="110" spans="1:5" x14ac:dyDescent="0.2">
      <c r="A110" s="60" t="s">
        <v>1397</v>
      </c>
      <c r="B110" s="60" t="s">
        <v>1398</v>
      </c>
      <c r="C110" s="60" t="s">
        <v>1399</v>
      </c>
      <c r="D110" s="60" t="s">
        <v>1400</v>
      </c>
      <c r="E110" s="55"/>
    </row>
    <row r="111" spans="1:5" x14ac:dyDescent="0.2">
      <c r="A111" s="60" t="s">
        <v>1483</v>
      </c>
      <c r="B111" s="60" t="s">
        <v>1484</v>
      </c>
      <c r="C111" s="60" t="s">
        <v>1485</v>
      </c>
      <c r="D111" s="60" t="s">
        <v>1486</v>
      </c>
      <c r="E111" s="55"/>
    </row>
    <row r="112" spans="1:5" x14ac:dyDescent="0.2">
      <c r="A112" s="60" t="s">
        <v>1008</v>
      </c>
      <c r="B112" s="60" t="s">
        <v>1009</v>
      </c>
      <c r="C112" s="60" t="s">
        <v>1010</v>
      </c>
      <c r="D112" s="60" t="s">
        <v>1011</v>
      </c>
      <c r="E112" s="56"/>
    </row>
    <row r="113" spans="1:5" x14ac:dyDescent="0.2">
      <c r="A113" s="60" t="s">
        <v>1282</v>
      </c>
      <c r="B113" s="60" t="s">
        <v>1283</v>
      </c>
      <c r="C113" s="60" t="s">
        <v>1284</v>
      </c>
      <c r="D113" s="60" t="s">
        <v>1285</v>
      </c>
      <c r="E113" s="55"/>
    </row>
    <row r="114" spans="1:5" x14ac:dyDescent="0.2">
      <c r="A114" s="60" t="s">
        <v>219</v>
      </c>
      <c r="B114" s="60" t="s">
        <v>426</v>
      </c>
      <c r="C114" s="60" t="s">
        <v>427</v>
      </c>
      <c r="D114" s="60" t="s">
        <v>220</v>
      </c>
      <c r="E114" s="55"/>
    </row>
    <row r="115" spans="1:5" x14ac:dyDescent="0.2">
      <c r="A115" s="60" t="s">
        <v>1012</v>
      </c>
      <c r="B115" s="60" t="s">
        <v>1013</v>
      </c>
      <c r="C115" s="60" t="s">
        <v>1014</v>
      </c>
      <c r="D115" s="60" t="s">
        <v>1015</v>
      </c>
      <c r="E115" s="56"/>
    </row>
    <row r="116" spans="1:5" x14ac:dyDescent="0.2">
      <c r="A116" s="60" t="s">
        <v>280</v>
      </c>
      <c r="B116" s="60" t="s">
        <v>430</v>
      </c>
      <c r="C116" s="60" t="s">
        <v>978</v>
      </c>
      <c r="D116" s="60" t="s">
        <v>281</v>
      </c>
      <c r="E116" s="20"/>
    </row>
    <row r="117" spans="1:5" x14ac:dyDescent="0.2">
      <c r="A117" s="60" t="s">
        <v>1370</v>
      </c>
      <c r="B117" s="60" t="s">
        <v>1371</v>
      </c>
      <c r="C117" s="60" t="s">
        <v>1372</v>
      </c>
      <c r="D117" s="60" t="s">
        <v>1373</v>
      </c>
      <c r="E117" s="20"/>
    </row>
    <row r="118" spans="1:5" x14ac:dyDescent="0.2">
      <c r="A118" s="60" t="s">
        <v>1487</v>
      </c>
      <c r="B118" s="60" t="s">
        <v>1488</v>
      </c>
      <c r="C118" s="60" t="s">
        <v>1489</v>
      </c>
      <c r="D118" s="60" t="s">
        <v>1490</v>
      </c>
      <c r="E118" s="20"/>
    </row>
    <row r="119" spans="1:5" x14ac:dyDescent="0.2">
      <c r="A119" s="60" t="s">
        <v>1491</v>
      </c>
      <c r="B119" s="60" t="s">
        <v>1492</v>
      </c>
      <c r="C119" s="60" t="s">
        <v>1492</v>
      </c>
      <c r="D119" s="60" t="s">
        <v>1493</v>
      </c>
      <c r="E119" s="20"/>
    </row>
    <row r="120" spans="1:5" x14ac:dyDescent="0.2">
      <c r="A120" s="60" t="s">
        <v>1494</v>
      </c>
      <c r="B120" s="60" t="s">
        <v>1495</v>
      </c>
      <c r="C120" s="60" t="s">
        <v>1496</v>
      </c>
      <c r="D120" s="60" t="s">
        <v>1497</v>
      </c>
      <c r="E120" s="20"/>
    </row>
    <row r="121" spans="1:5" x14ac:dyDescent="0.2">
      <c r="A121" s="60" t="s">
        <v>265</v>
      </c>
      <c r="B121" s="60" t="s">
        <v>437</v>
      </c>
      <c r="C121" s="60" t="s">
        <v>979</v>
      </c>
      <c r="D121" s="60" t="s">
        <v>266</v>
      </c>
      <c r="E121" s="20"/>
    </row>
    <row r="122" spans="1:5" x14ac:dyDescent="0.2">
      <c r="A122" s="60" t="s">
        <v>1286</v>
      </c>
      <c r="B122" s="60" t="s">
        <v>1287</v>
      </c>
      <c r="C122" s="60" t="s">
        <v>1288</v>
      </c>
      <c r="D122" s="60" t="s">
        <v>1289</v>
      </c>
      <c r="E122" s="20"/>
    </row>
    <row r="123" spans="1:5" x14ac:dyDescent="0.2">
      <c r="A123" s="60" t="s">
        <v>1498</v>
      </c>
      <c r="B123" s="60" t="s">
        <v>1499</v>
      </c>
      <c r="C123" s="60" t="s">
        <v>1500</v>
      </c>
      <c r="D123" s="60" t="s">
        <v>1501</v>
      </c>
      <c r="E123" s="20"/>
    </row>
    <row r="124" spans="1:5" x14ac:dyDescent="0.2">
      <c r="A124" s="60" t="s">
        <v>1290</v>
      </c>
      <c r="B124" s="60" t="s">
        <v>1291</v>
      </c>
      <c r="C124" s="60" t="s">
        <v>1292</v>
      </c>
      <c r="D124" s="60" t="s">
        <v>1293</v>
      </c>
      <c r="E124" s="20"/>
    </row>
    <row r="125" spans="1:5" x14ac:dyDescent="0.2">
      <c r="A125" s="60" t="s">
        <v>230</v>
      </c>
      <c r="B125" s="60" t="s">
        <v>443</v>
      </c>
      <c r="C125" s="60" t="s">
        <v>444</v>
      </c>
      <c r="D125" s="60" t="s">
        <v>231</v>
      </c>
      <c r="E125" s="20"/>
    </row>
    <row r="126" spans="1:5" x14ac:dyDescent="0.2">
      <c r="A126" s="60" t="s">
        <v>1294</v>
      </c>
      <c r="B126" s="60" t="s">
        <v>1295</v>
      </c>
      <c r="C126" s="60" t="s">
        <v>1296</v>
      </c>
      <c r="D126" s="60" t="s">
        <v>1297</v>
      </c>
      <c r="E126" s="20"/>
    </row>
    <row r="127" spans="1:5" x14ac:dyDescent="0.2">
      <c r="A127" s="60" t="s">
        <v>268</v>
      </c>
      <c r="B127" s="60" t="s">
        <v>459</v>
      </c>
      <c r="C127" s="60" t="s">
        <v>460</v>
      </c>
      <c r="D127" s="60" t="s">
        <v>269</v>
      </c>
      <c r="E127" s="20"/>
    </row>
    <row r="128" spans="1:5" x14ac:dyDescent="0.2">
      <c r="A128" s="60" t="s">
        <v>1298</v>
      </c>
      <c r="B128" s="60" t="s">
        <v>1299</v>
      </c>
      <c r="C128" s="60" t="s">
        <v>1300</v>
      </c>
      <c r="D128" s="60" t="s">
        <v>1301</v>
      </c>
      <c r="E128" s="20"/>
    </row>
    <row r="129" spans="1:5" x14ac:dyDescent="0.2">
      <c r="A129" s="60" t="s">
        <v>1502</v>
      </c>
      <c r="B129" s="60" t="s">
        <v>1503</v>
      </c>
      <c r="C129" s="60" t="s">
        <v>1504</v>
      </c>
      <c r="D129" s="60" t="s">
        <v>1505</v>
      </c>
      <c r="E129" s="20"/>
    </row>
    <row r="130" spans="1:5" x14ac:dyDescent="0.2">
      <c r="A130" s="60" t="s">
        <v>1506</v>
      </c>
      <c r="B130" s="60" t="s">
        <v>1507</v>
      </c>
      <c r="C130" s="60" t="s">
        <v>1508</v>
      </c>
      <c r="D130" s="60" t="s">
        <v>1509</v>
      </c>
      <c r="E130" s="20"/>
    </row>
    <row r="131" spans="1:5" x14ac:dyDescent="0.2">
      <c r="A131" s="60" t="s">
        <v>1510</v>
      </c>
      <c r="B131" s="60" t="s">
        <v>1511</v>
      </c>
      <c r="C131" s="60" t="s">
        <v>1512</v>
      </c>
      <c r="D131" s="60" t="s">
        <v>1513</v>
      </c>
      <c r="E131" s="20"/>
    </row>
    <row r="132" spans="1:5" x14ac:dyDescent="0.2">
      <c r="A132" s="60" t="s">
        <v>1058</v>
      </c>
      <c r="B132" s="60" t="s">
        <v>1059</v>
      </c>
      <c r="C132" s="60" t="s">
        <v>1242</v>
      </c>
      <c r="D132" s="60" t="s">
        <v>1060</v>
      </c>
      <c r="E132" s="20"/>
    </row>
    <row r="133" spans="1:5" x14ac:dyDescent="0.2">
      <c r="A133" s="60" t="s">
        <v>1302</v>
      </c>
      <c r="B133" s="60" t="s">
        <v>1303</v>
      </c>
      <c r="C133" s="60" t="s">
        <v>1304</v>
      </c>
      <c r="D133" s="60" t="s">
        <v>1305</v>
      </c>
      <c r="E133" s="20"/>
    </row>
    <row r="134" spans="1:5" x14ac:dyDescent="0.2">
      <c r="A134" s="60" t="s">
        <v>239</v>
      </c>
      <c r="B134" s="60" t="s">
        <v>466</v>
      </c>
      <c r="C134" s="60" t="s">
        <v>467</v>
      </c>
      <c r="D134" s="60" t="s">
        <v>240</v>
      </c>
      <c r="E134" s="20"/>
    </row>
    <row r="135" spans="1:5" x14ac:dyDescent="0.2">
      <c r="A135" s="60" t="s">
        <v>1061</v>
      </c>
      <c r="B135" s="60" t="s">
        <v>1062</v>
      </c>
      <c r="C135" s="60" t="s">
        <v>1063</v>
      </c>
      <c r="D135" s="60" t="s">
        <v>1064</v>
      </c>
      <c r="E135" s="20"/>
    </row>
    <row r="136" spans="1:5" x14ac:dyDescent="0.2">
      <c r="A136" s="60" t="s">
        <v>1514</v>
      </c>
      <c r="B136" s="60" t="s">
        <v>1515</v>
      </c>
      <c r="C136" s="60" t="s">
        <v>1516</v>
      </c>
      <c r="D136" s="60" t="s">
        <v>1405</v>
      </c>
      <c r="E136" s="20"/>
    </row>
    <row r="137" spans="1:5" x14ac:dyDescent="0.2">
      <c r="A137" s="60" t="s">
        <v>233</v>
      </c>
      <c r="B137" s="60" t="s">
        <v>468</v>
      </c>
      <c r="C137" s="60" t="s">
        <v>469</v>
      </c>
      <c r="D137" s="60" t="s">
        <v>234</v>
      </c>
      <c r="E137" s="20"/>
    </row>
    <row r="138" spans="1:5" x14ac:dyDescent="0.2">
      <c r="A138" s="60" t="s">
        <v>236</v>
      </c>
      <c r="B138" s="60" t="s">
        <v>472</v>
      </c>
      <c r="C138" s="60" t="s">
        <v>473</v>
      </c>
      <c r="D138" s="60" t="s">
        <v>237</v>
      </c>
      <c r="E138" s="20"/>
    </row>
    <row r="139" spans="1:5" x14ac:dyDescent="0.2">
      <c r="A139" s="60" t="s">
        <v>1387</v>
      </c>
      <c r="B139" s="60" t="s">
        <v>1517</v>
      </c>
      <c r="C139" s="60" t="s">
        <v>1518</v>
      </c>
      <c r="D139" s="60" t="s">
        <v>1388</v>
      </c>
      <c r="E139" s="20"/>
    </row>
    <row r="140" spans="1:5" x14ac:dyDescent="0.2">
      <c r="A140" s="60" t="s">
        <v>1076</v>
      </c>
      <c r="B140" s="60" t="s">
        <v>1077</v>
      </c>
      <c r="C140" s="60" t="s">
        <v>1078</v>
      </c>
      <c r="D140" s="60" t="s">
        <v>1079</v>
      </c>
      <c r="E140" s="20"/>
    </row>
    <row r="141" spans="1:5" x14ac:dyDescent="0.2">
      <c r="A141" s="60" t="s">
        <v>1374</v>
      </c>
      <c r="B141" s="60" t="s">
        <v>1375</v>
      </c>
      <c r="C141" s="60" t="s">
        <v>1376</v>
      </c>
      <c r="D141" s="60" t="s">
        <v>1377</v>
      </c>
      <c r="E141"/>
    </row>
    <row r="142" spans="1:5" x14ac:dyDescent="0.2">
      <c r="A142" s="60" t="s">
        <v>1519</v>
      </c>
      <c r="B142" s="60" t="s">
        <v>1520</v>
      </c>
      <c r="C142" s="60" t="s">
        <v>1521</v>
      </c>
      <c r="D142" s="60" t="s">
        <v>1522</v>
      </c>
      <c r="E142"/>
    </row>
    <row r="143" spans="1:5" x14ac:dyDescent="0.2">
      <c r="A143" s="60" t="s">
        <v>224</v>
      </c>
      <c r="B143" s="60" t="s">
        <v>476</v>
      </c>
      <c r="C143" s="60" t="s">
        <v>477</v>
      </c>
      <c r="D143" s="60" t="s">
        <v>225</v>
      </c>
      <c r="E143"/>
    </row>
    <row r="144" spans="1:5" x14ac:dyDescent="0.2">
      <c r="A144" s="60" t="s">
        <v>1389</v>
      </c>
      <c r="B144" s="60" t="s">
        <v>1390</v>
      </c>
      <c r="C144" s="60" t="s">
        <v>1391</v>
      </c>
      <c r="D144" s="60" t="s">
        <v>1392</v>
      </c>
    </row>
    <row r="145" spans="1:4" x14ac:dyDescent="0.2">
      <c r="A145" s="60" t="s">
        <v>1306</v>
      </c>
      <c r="B145" s="60" t="s">
        <v>1307</v>
      </c>
      <c r="C145" s="60" t="s">
        <v>1308</v>
      </c>
      <c r="D145" s="60" t="s">
        <v>1309</v>
      </c>
    </row>
    <row r="146" spans="1:4" x14ac:dyDescent="0.2">
      <c r="A146" s="60" t="s">
        <v>1310</v>
      </c>
      <c r="B146" s="60" t="s">
        <v>1311</v>
      </c>
      <c r="C146" s="60" t="s">
        <v>1312</v>
      </c>
      <c r="D146" s="60" t="s">
        <v>1313</v>
      </c>
    </row>
    <row r="147" spans="1:4" x14ac:dyDescent="0.2">
      <c r="A147" s="60" t="s">
        <v>1523</v>
      </c>
      <c r="B147" s="60" t="s">
        <v>1524</v>
      </c>
      <c r="C147" s="60" t="s">
        <v>1525</v>
      </c>
      <c r="D147" s="60" t="s">
        <v>1526</v>
      </c>
    </row>
    <row r="148" spans="1:4" x14ac:dyDescent="0.2">
      <c r="A148" s="60" t="s">
        <v>1527</v>
      </c>
      <c r="B148" s="60" t="s">
        <v>1528</v>
      </c>
      <c r="C148" s="60" t="s">
        <v>1529</v>
      </c>
      <c r="D148" s="60" t="s">
        <v>1530</v>
      </c>
    </row>
    <row r="149" spans="1:4" x14ac:dyDescent="0.2">
      <c r="A149" s="60" t="s">
        <v>1531</v>
      </c>
      <c r="B149" s="60" t="s">
        <v>1532</v>
      </c>
      <c r="C149" s="60" t="s">
        <v>1533</v>
      </c>
      <c r="D149" s="60" t="s">
        <v>1534</v>
      </c>
    </row>
    <row r="150" spans="1:4" x14ac:dyDescent="0.2">
      <c r="A150" s="60" t="s">
        <v>247</v>
      </c>
      <c r="B150" s="60" t="s">
        <v>488</v>
      </c>
      <c r="C150" s="60" t="s">
        <v>489</v>
      </c>
      <c r="D150" s="60" t="s">
        <v>248</v>
      </c>
    </row>
    <row r="151" spans="1:4" x14ac:dyDescent="0.2">
      <c r="A151" s="60" t="s">
        <v>250</v>
      </c>
      <c r="B151" s="60" t="s">
        <v>492</v>
      </c>
      <c r="C151" s="60" t="s">
        <v>980</v>
      </c>
      <c r="D151" s="60" t="s">
        <v>251</v>
      </c>
    </row>
    <row r="152" spans="1:4" x14ac:dyDescent="0.2">
      <c r="A152" s="60" t="s">
        <v>259</v>
      </c>
      <c r="B152" s="60" t="s">
        <v>493</v>
      </c>
      <c r="C152" s="60" t="s">
        <v>493</v>
      </c>
      <c r="D152" s="60" t="s">
        <v>260</v>
      </c>
    </row>
    <row r="153" spans="1:4" x14ac:dyDescent="0.2">
      <c r="A153" s="60" t="s">
        <v>1314</v>
      </c>
      <c r="B153" s="60" t="s">
        <v>1315</v>
      </c>
      <c r="C153" s="60" t="s">
        <v>1316</v>
      </c>
      <c r="D153" s="60" t="s">
        <v>225</v>
      </c>
    </row>
    <row r="154" spans="1:4" x14ac:dyDescent="0.2">
      <c r="A154" s="60" t="s">
        <v>1080</v>
      </c>
      <c r="B154" s="60" t="s">
        <v>1081</v>
      </c>
      <c r="C154" s="60" t="s">
        <v>1082</v>
      </c>
      <c r="D154" s="60" t="s">
        <v>1083</v>
      </c>
    </row>
    <row r="155" spans="1:4" x14ac:dyDescent="0.2">
      <c r="A155" s="60" t="s">
        <v>1065</v>
      </c>
      <c r="B155" s="60" t="s">
        <v>1066</v>
      </c>
      <c r="C155" s="60" t="s">
        <v>1067</v>
      </c>
      <c r="D155" s="60" t="s">
        <v>1068</v>
      </c>
    </row>
    <row r="156" spans="1:4" x14ac:dyDescent="0.2">
      <c r="A156" s="60" t="s">
        <v>1317</v>
      </c>
      <c r="B156" s="60" t="s">
        <v>1318</v>
      </c>
      <c r="C156" s="60" t="s">
        <v>1319</v>
      </c>
      <c r="D156" s="60" t="s">
        <v>1320</v>
      </c>
    </row>
    <row r="157" spans="1:4" x14ac:dyDescent="0.2">
      <c r="A157" s="60" t="s">
        <v>227</v>
      </c>
      <c r="B157" s="60" t="s">
        <v>498</v>
      </c>
      <c r="C157" s="60" t="s">
        <v>499</v>
      </c>
      <c r="D157" s="60" t="s">
        <v>228</v>
      </c>
    </row>
    <row r="158" spans="1:4" x14ac:dyDescent="0.2">
      <c r="A158" s="60" t="s">
        <v>1535</v>
      </c>
      <c r="B158" s="60" t="s">
        <v>1536</v>
      </c>
      <c r="C158" s="60" t="s">
        <v>1537</v>
      </c>
      <c r="D158" s="60" t="s">
        <v>1538</v>
      </c>
    </row>
    <row r="159" spans="1:4" x14ac:dyDescent="0.2">
      <c r="A159" s="60" t="s">
        <v>1539</v>
      </c>
      <c r="B159" s="60" t="s">
        <v>1540</v>
      </c>
      <c r="C159" s="60" t="s">
        <v>1541</v>
      </c>
      <c r="D159" s="60" t="s">
        <v>1542</v>
      </c>
    </row>
    <row r="160" spans="1:4" x14ac:dyDescent="0.2">
      <c r="A160" s="60" t="s">
        <v>1543</v>
      </c>
      <c r="B160" s="60" t="s">
        <v>1544</v>
      </c>
      <c r="C160" s="60" t="s">
        <v>1545</v>
      </c>
      <c r="D160" s="60" t="s">
        <v>1546</v>
      </c>
    </row>
    <row r="161" spans="1:4" x14ac:dyDescent="0.2">
      <c r="A161" s="60" t="s">
        <v>1547</v>
      </c>
      <c r="B161" s="60" t="s">
        <v>1548</v>
      </c>
      <c r="C161" s="60" t="s">
        <v>1549</v>
      </c>
      <c r="D161" s="60" t="s">
        <v>1550</v>
      </c>
    </row>
    <row r="162" spans="1:4" x14ac:dyDescent="0.2">
      <c r="A162" s="60" t="s">
        <v>1024</v>
      </c>
      <c r="B162" s="60" t="s">
        <v>1025</v>
      </c>
      <c r="C162" s="60" t="s">
        <v>1026</v>
      </c>
      <c r="D162" s="60" t="s">
        <v>1027</v>
      </c>
    </row>
    <row r="163" spans="1:4" x14ac:dyDescent="0.2">
      <c r="A163" s="60" t="s">
        <v>1084</v>
      </c>
      <c r="B163" s="60" t="s">
        <v>1085</v>
      </c>
      <c r="C163" s="60" t="s">
        <v>1086</v>
      </c>
      <c r="D163" s="60" t="s">
        <v>1087</v>
      </c>
    </row>
    <row r="164" spans="1:4" x14ac:dyDescent="0.2">
      <c r="A164" s="60" t="s">
        <v>1088</v>
      </c>
      <c r="B164" s="60" t="s">
        <v>1089</v>
      </c>
      <c r="C164" s="60" t="s">
        <v>1089</v>
      </c>
      <c r="D164" s="60" t="s">
        <v>1090</v>
      </c>
    </row>
    <row r="165" spans="1:4" x14ac:dyDescent="0.2">
      <c r="A165" s="60" t="s">
        <v>1551</v>
      </c>
      <c r="B165" s="60" t="s">
        <v>1552</v>
      </c>
      <c r="C165" s="60" t="s">
        <v>1552</v>
      </c>
      <c r="D165" s="60" t="s">
        <v>1553</v>
      </c>
    </row>
    <row r="166" spans="1:4" x14ac:dyDescent="0.2">
      <c r="A166" s="60" t="s">
        <v>1028</v>
      </c>
      <c r="B166" s="60" t="s">
        <v>1321</v>
      </c>
      <c r="C166" s="60" t="s">
        <v>1029</v>
      </c>
      <c r="D166" s="60" t="s">
        <v>1030</v>
      </c>
    </row>
    <row r="167" spans="1:4" x14ac:dyDescent="0.2">
      <c r="A167" s="60" t="s">
        <v>1322</v>
      </c>
      <c r="B167" s="60" t="s">
        <v>1323</v>
      </c>
      <c r="C167" s="60" t="s">
        <v>1324</v>
      </c>
      <c r="D167" s="60" t="s">
        <v>1325</v>
      </c>
    </row>
    <row r="168" spans="1:4" x14ac:dyDescent="0.2">
      <c r="A168" s="60" t="s">
        <v>256</v>
      </c>
      <c r="B168" s="60" t="s">
        <v>509</v>
      </c>
      <c r="C168" s="60" t="s">
        <v>981</v>
      </c>
      <c r="D168" s="60" t="s">
        <v>257</v>
      </c>
    </row>
    <row r="169" spans="1:4" x14ac:dyDescent="0.2">
      <c r="A169" s="60" t="s">
        <v>1554</v>
      </c>
      <c r="B169" s="60" t="s">
        <v>1555</v>
      </c>
      <c r="C169" s="60" t="s">
        <v>1556</v>
      </c>
      <c r="D169" s="60" t="s">
        <v>1557</v>
      </c>
    </row>
    <row r="170" spans="1:4" x14ac:dyDescent="0.2">
      <c r="A170" s="60" t="s">
        <v>1558</v>
      </c>
      <c r="B170" s="60" t="s">
        <v>1559</v>
      </c>
      <c r="C170" s="60" t="s">
        <v>1560</v>
      </c>
      <c r="D170" s="60" t="s">
        <v>1561</v>
      </c>
    </row>
    <row r="171" spans="1:4" x14ac:dyDescent="0.2">
      <c r="A171" s="60" t="s">
        <v>1326</v>
      </c>
      <c r="B171" s="60" t="s">
        <v>1327</v>
      </c>
      <c r="C171" s="60" t="s">
        <v>1328</v>
      </c>
      <c r="D171" s="60" t="s">
        <v>1329</v>
      </c>
    </row>
    <row r="172" spans="1:4" x14ac:dyDescent="0.2">
      <c r="A172" s="60" t="s">
        <v>1031</v>
      </c>
      <c r="B172" s="60" t="s">
        <v>1032</v>
      </c>
      <c r="C172" s="60" t="s">
        <v>1033</v>
      </c>
      <c r="D172" s="60" t="s">
        <v>1034</v>
      </c>
    </row>
    <row r="173" spans="1:4" x14ac:dyDescent="0.2">
      <c r="A173" s="60" t="s">
        <v>1401</v>
      </c>
      <c r="B173" s="60" t="s">
        <v>1402</v>
      </c>
      <c r="C173" s="60" t="s">
        <v>1403</v>
      </c>
      <c r="D173" s="60" t="s">
        <v>1404</v>
      </c>
    </row>
    <row r="174" spans="1:4" x14ac:dyDescent="0.2">
      <c r="A174" s="60" t="s">
        <v>1330</v>
      </c>
      <c r="B174" s="60" t="s">
        <v>1331</v>
      </c>
      <c r="C174" s="60" t="s">
        <v>1332</v>
      </c>
      <c r="D174" s="60" t="s">
        <v>1333</v>
      </c>
    </row>
    <row r="175" spans="1:4" x14ac:dyDescent="0.2">
      <c r="A175" s="60" t="s">
        <v>1562</v>
      </c>
      <c r="B175" s="60" t="s">
        <v>1563</v>
      </c>
      <c r="C175" s="60" t="s">
        <v>1564</v>
      </c>
      <c r="D175" s="60" t="s">
        <v>1565</v>
      </c>
    </row>
    <row r="176" spans="1:4" x14ac:dyDescent="0.2">
      <c r="A176" s="60" t="s">
        <v>245</v>
      </c>
      <c r="B176" s="60" t="s">
        <v>520</v>
      </c>
      <c r="C176" s="60" t="s">
        <v>521</v>
      </c>
      <c r="D176" s="60" t="s">
        <v>246</v>
      </c>
    </row>
    <row r="177" spans="1:4" x14ac:dyDescent="0.2">
      <c r="A177" s="60" t="s">
        <v>271</v>
      </c>
      <c r="B177" s="60" t="s">
        <v>525</v>
      </c>
      <c r="C177" s="60" t="s">
        <v>526</v>
      </c>
      <c r="D177" s="60" t="s">
        <v>272</v>
      </c>
    </row>
    <row r="178" spans="1:4" x14ac:dyDescent="0.2">
      <c r="A178" s="60" t="s">
        <v>1566</v>
      </c>
      <c r="B178" s="60" t="s">
        <v>1567</v>
      </c>
      <c r="C178" s="60" t="s">
        <v>1568</v>
      </c>
      <c r="D178" s="60" t="s">
        <v>1569</v>
      </c>
    </row>
    <row r="179" spans="1:4" x14ac:dyDescent="0.2">
      <c r="A179" s="60" t="s">
        <v>1378</v>
      </c>
      <c r="B179" s="60" t="s">
        <v>1379</v>
      </c>
      <c r="C179" s="60" t="s">
        <v>1380</v>
      </c>
      <c r="D179" s="60" t="s">
        <v>1381</v>
      </c>
    </row>
    <row r="180" spans="1:4" x14ac:dyDescent="0.2">
      <c r="A180" s="60" t="s">
        <v>1334</v>
      </c>
      <c r="B180" s="60" t="s">
        <v>1335</v>
      </c>
      <c r="C180" s="60" t="s">
        <v>1336</v>
      </c>
      <c r="D180" s="60" t="s">
        <v>1337</v>
      </c>
    </row>
    <row r="181" spans="1:4" x14ac:dyDescent="0.2">
      <c r="A181" s="60" t="s">
        <v>1338</v>
      </c>
      <c r="B181" s="60" t="s">
        <v>1339</v>
      </c>
      <c r="C181" s="60" t="s">
        <v>1339</v>
      </c>
      <c r="D181" s="60" t="s">
        <v>1340</v>
      </c>
    </row>
    <row r="182" spans="1:4" x14ac:dyDescent="0.2">
      <c r="A182" s="60" t="s">
        <v>1570</v>
      </c>
      <c r="B182" s="60" t="s">
        <v>1571</v>
      </c>
      <c r="C182" s="60" t="s">
        <v>1572</v>
      </c>
      <c r="D182" s="60" t="s">
        <v>1573</v>
      </c>
    </row>
    <row r="183" spans="1:4" x14ac:dyDescent="0.2">
      <c r="A183" s="60" t="s">
        <v>1574</v>
      </c>
      <c r="B183" s="60" t="s">
        <v>1575</v>
      </c>
      <c r="C183" s="60" t="s">
        <v>1576</v>
      </c>
      <c r="D183" s="60" t="s">
        <v>1577</v>
      </c>
    </row>
    <row r="184" spans="1:4" x14ac:dyDescent="0.2">
      <c r="A184" s="60" t="s">
        <v>1393</v>
      </c>
      <c r="B184" s="60" t="s">
        <v>1394</v>
      </c>
      <c r="C184" s="60" t="s">
        <v>1395</v>
      </c>
      <c r="D184" s="60" t="s">
        <v>1396</v>
      </c>
    </row>
    <row r="185" spans="1:4" x14ac:dyDescent="0.2">
      <c r="A185" s="60" t="s">
        <v>262</v>
      </c>
      <c r="B185" s="60" t="s">
        <v>527</v>
      </c>
      <c r="C185" s="60" t="s">
        <v>528</v>
      </c>
      <c r="D185" s="60" t="s">
        <v>263</v>
      </c>
    </row>
    <row r="186" spans="1:4" x14ac:dyDescent="0.2">
      <c r="A186" s="60" t="s">
        <v>1578</v>
      </c>
      <c r="B186" s="60" t="s">
        <v>1579</v>
      </c>
      <c r="C186" s="60" t="s">
        <v>1580</v>
      </c>
      <c r="D186" s="60" t="s">
        <v>1581</v>
      </c>
    </row>
    <row r="187" spans="1:4" x14ac:dyDescent="0.2">
      <c r="A187" s="60" t="s">
        <v>1582</v>
      </c>
      <c r="B187" s="60" t="s">
        <v>1583</v>
      </c>
      <c r="C187" s="60" t="s">
        <v>1584</v>
      </c>
      <c r="D187" s="60" t="s">
        <v>1585</v>
      </c>
    </row>
    <row r="188" spans="1:4" x14ac:dyDescent="0.2">
      <c r="A188" s="60" t="s">
        <v>1586</v>
      </c>
      <c r="B188" s="60" t="s">
        <v>1587</v>
      </c>
      <c r="C188" s="60" t="s">
        <v>1588</v>
      </c>
      <c r="D188" s="60" t="s">
        <v>1589</v>
      </c>
    </row>
    <row r="189" spans="1:4" x14ac:dyDescent="0.2">
      <c r="A189" s="60" t="s">
        <v>1035</v>
      </c>
      <c r="B189" s="60" t="s">
        <v>1036</v>
      </c>
      <c r="C189" s="60" t="s">
        <v>1037</v>
      </c>
      <c r="D189" s="60" t="s">
        <v>1038</v>
      </c>
    </row>
    <row r="190" spans="1:4" x14ac:dyDescent="0.2">
      <c r="A190" s="60" t="s">
        <v>1590</v>
      </c>
      <c r="B190" s="60" t="s">
        <v>1591</v>
      </c>
      <c r="C190" s="60" t="s">
        <v>1592</v>
      </c>
      <c r="D190" s="60" t="s">
        <v>1593</v>
      </c>
    </row>
    <row r="191" spans="1:4" x14ac:dyDescent="0.2">
      <c r="A191" s="60" t="s">
        <v>1594</v>
      </c>
      <c r="B191" s="60" t="s">
        <v>1595</v>
      </c>
      <c r="C191" s="60" t="s">
        <v>1596</v>
      </c>
      <c r="D191" s="60" t="s">
        <v>1597</v>
      </c>
    </row>
    <row r="192" spans="1:4" x14ac:dyDescent="0.2">
      <c r="A192" s="60" t="s">
        <v>253</v>
      </c>
      <c r="B192" s="60" t="s">
        <v>543</v>
      </c>
      <c r="C192" s="60" t="s">
        <v>544</v>
      </c>
      <c r="D192" s="60" t="s">
        <v>254</v>
      </c>
    </row>
    <row r="193" spans="1:4" x14ac:dyDescent="0.2">
      <c r="A193" s="60" t="s">
        <v>1598</v>
      </c>
      <c r="B193" s="60" t="s">
        <v>1599</v>
      </c>
      <c r="C193" s="60" t="s">
        <v>1600</v>
      </c>
      <c r="D193" s="60" t="s">
        <v>1601</v>
      </c>
    </row>
    <row r="194" spans="1:4" x14ac:dyDescent="0.2">
      <c r="A194" s="60" t="s">
        <v>1602</v>
      </c>
      <c r="B194" s="60" t="s">
        <v>1603</v>
      </c>
      <c r="C194" s="60" t="s">
        <v>1604</v>
      </c>
      <c r="D194" s="60" t="s">
        <v>1605</v>
      </c>
    </row>
    <row r="195" spans="1:4" x14ac:dyDescent="0.2">
      <c r="A195" s="60" t="s">
        <v>274</v>
      </c>
      <c r="B195" s="60" t="s">
        <v>549</v>
      </c>
      <c r="C195" s="60" t="s">
        <v>550</v>
      </c>
      <c r="D195" s="60" t="s">
        <v>275</v>
      </c>
    </row>
    <row r="196" spans="1:4" x14ac:dyDescent="0.2">
      <c r="A196" s="113" t="s">
        <v>277</v>
      </c>
      <c r="B196" s="113" t="s">
        <v>552</v>
      </c>
      <c r="C196" s="113" t="s">
        <v>553</v>
      </c>
      <c r="D196" s="113" t="s">
        <v>278</v>
      </c>
    </row>
    <row r="197" spans="1:4" x14ac:dyDescent="0.2">
      <c r="A197" s="60" t="s">
        <v>1043</v>
      </c>
      <c r="B197" s="60" t="s">
        <v>1044</v>
      </c>
      <c r="C197" s="60" t="s">
        <v>1045</v>
      </c>
      <c r="D197" s="60" t="s">
        <v>1046</v>
      </c>
    </row>
    <row r="198" spans="1:4" x14ac:dyDescent="0.2">
      <c r="A198" s="60" t="s">
        <v>1341</v>
      </c>
      <c r="B198" s="60" t="s">
        <v>1342</v>
      </c>
      <c r="C198" s="60" t="s">
        <v>1342</v>
      </c>
      <c r="D198" s="60" t="s">
        <v>1343</v>
      </c>
    </row>
    <row r="199" spans="1:4" x14ac:dyDescent="0.2">
      <c r="A199" s="60" t="s">
        <v>1344</v>
      </c>
      <c r="B199" s="60" t="s">
        <v>1345</v>
      </c>
      <c r="C199" s="60" t="s">
        <v>1345</v>
      </c>
      <c r="D199" s="60" t="s">
        <v>1346</v>
      </c>
    </row>
    <row r="200" spans="1:4" x14ac:dyDescent="0.2">
      <c r="A200" s="113" t="s">
        <v>1347</v>
      </c>
      <c r="B200" s="113" t="s">
        <v>1348</v>
      </c>
      <c r="C200" s="113" t="s">
        <v>1348</v>
      </c>
      <c r="D200" s="113" t="s">
        <v>1349</v>
      </c>
    </row>
    <row r="201" spans="1:4" x14ac:dyDescent="0.2">
      <c r="A201" s="114" t="s">
        <v>1606</v>
      </c>
      <c r="B201" s="114" t="s">
        <v>1607</v>
      </c>
      <c r="C201" s="114" t="s">
        <v>1608</v>
      </c>
      <c r="D201" s="60" t="s">
        <v>1609</v>
      </c>
    </row>
    <row r="202" spans="1:4" ht="15" x14ac:dyDescent="0.25">
      <c r="A202" s="115" t="s">
        <v>1610</v>
      </c>
      <c r="B202" s="114" t="s">
        <v>1611</v>
      </c>
      <c r="C202" s="114" t="s">
        <v>1612</v>
      </c>
      <c r="D202" s="60" t="s">
        <v>1613</v>
      </c>
    </row>
    <row r="203" spans="1:4" x14ac:dyDescent="0.2">
      <c r="A203" s="114" t="s">
        <v>1350</v>
      </c>
      <c r="B203" s="114" t="s">
        <v>1351</v>
      </c>
      <c r="C203" s="114" t="s">
        <v>1352</v>
      </c>
      <c r="D203" s="60" t="s">
        <v>1353</v>
      </c>
    </row>
    <row r="204" spans="1:4" x14ac:dyDescent="0.2">
      <c r="A204" s="114" t="s">
        <v>1354</v>
      </c>
      <c r="B204" s="114" t="s">
        <v>1355</v>
      </c>
      <c r="C204" s="114" t="s">
        <v>1356</v>
      </c>
      <c r="D204" s="60" t="s">
        <v>1357</v>
      </c>
    </row>
    <row r="205" spans="1:4" x14ac:dyDescent="0.2">
      <c r="A205" s="114" t="s">
        <v>1358</v>
      </c>
      <c r="B205" s="114" t="s">
        <v>1359</v>
      </c>
      <c r="C205" s="114" t="s">
        <v>1359</v>
      </c>
      <c r="D205" s="60" t="s">
        <v>1360</v>
      </c>
    </row>
    <row r="206" spans="1:4" x14ac:dyDescent="0.2">
      <c r="A206" s="116" t="s">
        <v>1361</v>
      </c>
      <c r="B206" s="116" t="s">
        <v>1362</v>
      </c>
      <c r="C206" s="116" t="s">
        <v>1362</v>
      </c>
      <c r="D206" s="113" t="s">
        <v>1363</v>
      </c>
    </row>
    <row r="207" spans="1:4" x14ac:dyDescent="0.2">
      <c r="A207" s="60" t="s">
        <v>283</v>
      </c>
      <c r="B207" s="60" t="s">
        <v>559</v>
      </c>
      <c r="C207" s="60" t="s">
        <v>982</v>
      </c>
      <c r="D207" s="60" t="s">
        <v>284</v>
      </c>
    </row>
    <row r="208" spans="1:4" x14ac:dyDescent="0.2">
      <c r="A208" s="60" t="s">
        <v>1051</v>
      </c>
      <c r="B208" s="60" t="s">
        <v>1052</v>
      </c>
      <c r="C208" s="60" t="s">
        <v>1053</v>
      </c>
      <c r="D208" s="60" t="s">
        <v>1054</v>
      </c>
    </row>
    <row r="209" spans="1:4" x14ac:dyDescent="0.2">
      <c r="A209" s="60" t="s">
        <v>1364</v>
      </c>
      <c r="B209" s="60" t="s">
        <v>1365</v>
      </c>
      <c r="C209" s="60" t="s">
        <v>1366</v>
      </c>
      <c r="D209" s="60" t="s">
        <v>1367</v>
      </c>
    </row>
    <row r="210" spans="1:4" x14ac:dyDescent="0.2">
      <c r="A210" s="60" t="s">
        <v>783</v>
      </c>
      <c r="B210" s="60" t="s">
        <v>883</v>
      </c>
      <c r="C210" s="60" t="s">
        <v>1243</v>
      </c>
      <c r="D210" s="60" t="s">
        <v>884</v>
      </c>
    </row>
    <row r="211" spans="1:4" x14ac:dyDescent="0.2">
      <c r="A211" s="60" t="s">
        <v>789</v>
      </c>
      <c r="B211" s="60" t="s">
        <v>894</v>
      </c>
      <c r="C211" s="60" t="s">
        <v>895</v>
      </c>
      <c r="D211" s="60" t="s">
        <v>896</v>
      </c>
    </row>
    <row r="212" spans="1:4" x14ac:dyDescent="0.2">
      <c r="A212" s="60" t="s">
        <v>921</v>
      </c>
      <c r="B212" s="60" t="s">
        <v>922</v>
      </c>
      <c r="C212" s="60" t="s">
        <v>1244</v>
      </c>
      <c r="D212" s="60" t="s">
        <v>923</v>
      </c>
    </row>
    <row r="213" spans="1:4" x14ac:dyDescent="0.2">
      <c r="A213" s="60" t="s">
        <v>786</v>
      </c>
      <c r="B213" s="60" t="s">
        <v>877</v>
      </c>
      <c r="C213" s="60" t="s">
        <v>878</v>
      </c>
      <c r="D213" s="60" t="s">
        <v>879</v>
      </c>
    </row>
    <row r="214" spans="1:4" x14ac:dyDescent="0.2">
      <c r="A214" s="60" t="s">
        <v>792</v>
      </c>
      <c r="B214" s="60" t="s">
        <v>874</v>
      </c>
      <c r="C214" s="60" t="s">
        <v>875</v>
      </c>
      <c r="D214" s="60" t="s">
        <v>876</v>
      </c>
    </row>
    <row r="215" spans="1:4" x14ac:dyDescent="0.2">
      <c r="A215" s="60" t="s">
        <v>815</v>
      </c>
      <c r="B215" s="60" t="s">
        <v>906</v>
      </c>
      <c r="C215" s="60" t="s">
        <v>907</v>
      </c>
      <c r="D215" s="60" t="s">
        <v>908</v>
      </c>
    </row>
    <row r="216" spans="1:4" x14ac:dyDescent="0.2">
      <c r="A216" s="60" t="s">
        <v>794</v>
      </c>
      <c r="B216" s="60" t="s">
        <v>868</v>
      </c>
      <c r="C216" s="60" t="s">
        <v>869</v>
      </c>
      <c r="D216" s="60" t="s">
        <v>870</v>
      </c>
    </row>
    <row r="217" spans="1:4" x14ac:dyDescent="0.2">
      <c r="A217" s="60" t="s">
        <v>797</v>
      </c>
      <c r="B217" s="60" t="s">
        <v>871</v>
      </c>
      <c r="C217" s="60" t="s">
        <v>872</v>
      </c>
      <c r="D217" s="60" t="s">
        <v>873</v>
      </c>
    </row>
    <row r="218" spans="1:4" x14ac:dyDescent="0.2">
      <c r="A218" s="60" t="s">
        <v>799</v>
      </c>
      <c r="B218" s="60" t="s">
        <v>903</v>
      </c>
      <c r="C218" s="60" t="s">
        <v>904</v>
      </c>
      <c r="D218" s="60" t="s">
        <v>905</v>
      </c>
    </row>
    <row r="219" spans="1:4" x14ac:dyDescent="0.2">
      <c r="A219" s="60" t="s">
        <v>801</v>
      </c>
      <c r="B219" s="60" t="s">
        <v>888</v>
      </c>
      <c r="C219" s="60" t="s">
        <v>889</v>
      </c>
      <c r="D219" s="60" t="s">
        <v>890</v>
      </c>
    </row>
    <row r="220" spans="1:4" x14ac:dyDescent="0.2">
      <c r="A220" s="60" t="s">
        <v>804</v>
      </c>
      <c r="B220" s="60" t="s">
        <v>885</v>
      </c>
      <c r="C220" s="60" t="s">
        <v>886</v>
      </c>
      <c r="D220" s="60" t="s">
        <v>887</v>
      </c>
    </row>
    <row r="221" spans="1:4" x14ac:dyDescent="0.2">
      <c r="A221" s="60" t="s">
        <v>806</v>
      </c>
      <c r="B221" s="60" t="s">
        <v>880</v>
      </c>
      <c r="C221" s="60" t="s">
        <v>881</v>
      </c>
      <c r="D221" s="60" t="s">
        <v>882</v>
      </c>
    </row>
    <row r="222" spans="1:4" x14ac:dyDescent="0.2">
      <c r="A222" s="60" t="s">
        <v>808</v>
      </c>
      <c r="B222" s="60" t="s">
        <v>900</v>
      </c>
      <c r="C222" s="60" t="s">
        <v>901</v>
      </c>
      <c r="D222" s="60" t="s">
        <v>902</v>
      </c>
    </row>
    <row r="223" spans="1:4" x14ac:dyDescent="0.2">
      <c r="A223" s="60" t="s">
        <v>811</v>
      </c>
      <c r="B223" s="60" t="s">
        <v>891</v>
      </c>
      <c r="C223" s="60" t="s">
        <v>892</v>
      </c>
      <c r="D223" s="60" t="s">
        <v>893</v>
      </c>
    </row>
    <row r="224" spans="1:4" x14ac:dyDescent="0.2">
      <c r="A224" s="60" t="s">
        <v>813</v>
      </c>
      <c r="B224" s="60" t="s">
        <v>897</v>
      </c>
      <c r="C224" s="60" t="s">
        <v>898</v>
      </c>
      <c r="D224" s="60" t="s">
        <v>899</v>
      </c>
    </row>
    <row r="225" spans="1:4" x14ac:dyDescent="0.2">
      <c r="A225" s="60" t="s">
        <v>909</v>
      </c>
      <c r="B225" s="60" t="s">
        <v>910</v>
      </c>
      <c r="C225" s="60" t="s">
        <v>1245</v>
      </c>
      <c r="D225" s="60" t="s">
        <v>911</v>
      </c>
    </row>
    <row r="226" spans="1:4" x14ac:dyDescent="0.2">
      <c r="A226" s="60" t="s">
        <v>912</v>
      </c>
      <c r="B226" s="60" t="s">
        <v>913</v>
      </c>
      <c r="C226" s="60" t="s">
        <v>1246</v>
      </c>
      <c r="D226" s="60" t="s">
        <v>914</v>
      </c>
    </row>
    <row r="227" spans="1:4" x14ac:dyDescent="0.2">
      <c r="A227" s="60" t="s">
        <v>915</v>
      </c>
      <c r="B227" s="60" t="s">
        <v>916</v>
      </c>
      <c r="C227" s="60" t="s">
        <v>1247</v>
      </c>
      <c r="D227" s="60" t="s">
        <v>917</v>
      </c>
    </row>
    <row r="228" spans="1:4" x14ac:dyDescent="0.2">
      <c r="A228" s="60" t="s">
        <v>918</v>
      </c>
      <c r="B228" s="60" t="s">
        <v>919</v>
      </c>
      <c r="C228" s="60" t="s">
        <v>1248</v>
      </c>
      <c r="D228" s="60" t="s">
        <v>920</v>
      </c>
    </row>
    <row r="229" spans="1:4" x14ac:dyDescent="0.2">
      <c r="A229" s="60" t="s">
        <v>1091</v>
      </c>
      <c r="B229" s="60" t="s">
        <v>1092</v>
      </c>
      <c r="C229" s="60" t="s">
        <v>1093</v>
      </c>
      <c r="D229" s="60" t="s">
        <v>1094</v>
      </c>
    </row>
    <row r="230" spans="1:4" x14ac:dyDescent="0.2">
      <c r="A230" s="60" t="s">
        <v>933</v>
      </c>
      <c r="B230" s="60" t="s">
        <v>934</v>
      </c>
      <c r="C230" s="60" t="s">
        <v>935</v>
      </c>
      <c r="D230" s="60" t="s">
        <v>936</v>
      </c>
    </row>
    <row r="231" spans="1:4" x14ac:dyDescent="0.2">
      <c r="A231" s="60" t="s">
        <v>937</v>
      </c>
      <c r="B231" s="60" t="s">
        <v>938</v>
      </c>
      <c r="C231" s="60" t="s">
        <v>939</v>
      </c>
      <c r="D231" s="60" t="s">
        <v>940</v>
      </c>
    </row>
    <row r="232" spans="1:4" x14ac:dyDescent="0.2">
      <c r="A232" s="60" t="s">
        <v>941</v>
      </c>
      <c r="B232" s="60" t="s">
        <v>942</v>
      </c>
      <c r="C232" s="60" t="s">
        <v>943</v>
      </c>
      <c r="D232" s="60" t="s">
        <v>944</v>
      </c>
    </row>
    <row r="233" spans="1:4" x14ac:dyDescent="0.2">
      <c r="A233" s="60" t="s">
        <v>946</v>
      </c>
      <c r="B233" s="60" t="s">
        <v>947</v>
      </c>
      <c r="C233" s="60" t="s">
        <v>948</v>
      </c>
      <c r="D233" s="60" t="s">
        <v>949</v>
      </c>
    </row>
    <row r="234" spans="1:4" x14ac:dyDescent="0.2">
      <c r="A234" s="60" t="s">
        <v>950</v>
      </c>
      <c r="B234" s="60" t="s">
        <v>951</v>
      </c>
      <c r="C234" s="60" t="s">
        <v>952</v>
      </c>
      <c r="D234" s="60" t="s">
        <v>953</v>
      </c>
    </row>
    <row r="235" spans="1:4" x14ac:dyDescent="0.2">
      <c r="A235" s="60" t="s">
        <v>954</v>
      </c>
      <c r="B235" s="60" t="s">
        <v>955</v>
      </c>
      <c r="C235" s="60" t="s">
        <v>956</v>
      </c>
      <c r="D235" s="60" t="s">
        <v>957</v>
      </c>
    </row>
    <row r="236" spans="1:4" x14ac:dyDescent="0.2">
      <c r="A236" s="60" t="s">
        <v>958</v>
      </c>
      <c r="B236" s="60" t="s">
        <v>959</v>
      </c>
      <c r="C236" s="60" t="s">
        <v>960</v>
      </c>
      <c r="D236" s="60" t="s">
        <v>961</v>
      </c>
    </row>
    <row r="237" spans="1:4" x14ac:dyDescent="0.2">
      <c r="A237" s="60" t="s">
        <v>962</v>
      </c>
      <c r="B237" s="60" t="s">
        <v>963</v>
      </c>
      <c r="C237" s="60" t="s">
        <v>964</v>
      </c>
      <c r="D237" s="60" t="s">
        <v>965</v>
      </c>
    </row>
    <row r="238" spans="1:4" x14ac:dyDescent="0.2">
      <c r="A238" s="60" t="s">
        <v>966</v>
      </c>
      <c r="B238" s="60" t="s">
        <v>967</v>
      </c>
      <c r="C238" s="60" t="s">
        <v>968</v>
      </c>
      <c r="D238" s="60" t="s">
        <v>556</v>
      </c>
    </row>
    <row r="239" spans="1:4" x14ac:dyDescent="0.2">
      <c r="A239" s="60" t="s">
        <v>945</v>
      </c>
      <c r="B239" s="60" t="s">
        <v>1614</v>
      </c>
      <c r="C239" s="60" t="s">
        <v>1249</v>
      </c>
      <c r="D239" s="60" t="s">
        <v>500</v>
      </c>
    </row>
    <row r="240" spans="1:4" x14ac:dyDescent="0.2">
      <c r="A240" s="60" t="s">
        <v>931</v>
      </c>
      <c r="B240" s="60" t="s">
        <v>1615</v>
      </c>
      <c r="C240" s="60" t="s">
        <v>1262</v>
      </c>
      <c r="D240" s="60" t="s">
        <v>932</v>
      </c>
    </row>
    <row r="241" spans="1:4" x14ac:dyDescent="0.2">
      <c r="A241" s="60" t="s">
        <v>969</v>
      </c>
      <c r="B241" s="60" t="s">
        <v>970</v>
      </c>
      <c r="C241" s="60" t="s">
        <v>1250</v>
      </c>
      <c r="D241" s="60" t="s">
        <v>971</v>
      </c>
    </row>
    <row r="242" spans="1:4" x14ac:dyDescent="0.2">
      <c r="A242" s="60" t="s">
        <v>972</v>
      </c>
      <c r="B242" s="60" t="s">
        <v>973</v>
      </c>
      <c r="C242" s="60" t="s">
        <v>1251</v>
      </c>
      <c r="D242" s="60" t="s">
        <v>974</v>
      </c>
    </row>
    <row r="243" spans="1:4" x14ac:dyDescent="0.2">
      <c r="A243" s="60" t="s">
        <v>975</v>
      </c>
      <c r="B243" s="60" t="s">
        <v>976</v>
      </c>
      <c r="C243" s="60" t="s">
        <v>1252</v>
      </c>
      <c r="D243" s="60" t="s">
        <v>977</v>
      </c>
    </row>
    <row r="244" spans="1:4" x14ac:dyDescent="0.2">
      <c r="A244" s="60" t="s">
        <v>1616</v>
      </c>
      <c r="B244" s="60" t="s">
        <v>1617</v>
      </c>
      <c r="C244" s="60" t="s">
        <v>1617</v>
      </c>
      <c r="D244" s="60" t="s">
        <v>1618</v>
      </c>
    </row>
    <row r="245" spans="1:4" x14ac:dyDescent="0.2">
      <c r="A245" s="60" t="s">
        <v>1619</v>
      </c>
      <c r="B245" s="60" t="s">
        <v>1620</v>
      </c>
      <c r="C245" s="60" t="s">
        <v>1620</v>
      </c>
      <c r="D245" s="60" t="s">
        <v>1621</v>
      </c>
    </row>
    <row r="246" spans="1:4" x14ac:dyDescent="0.2">
      <c r="A246" s="60" t="s">
        <v>780</v>
      </c>
      <c r="B246" s="60" t="s">
        <v>983</v>
      </c>
      <c r="C246" s="60" t="s">
        <v>984</v>
      </c>
      <c r="D246" s="60" t="s">
        <v>985</v>
      </c>
    </row>
    <row r="247" spans="1:4" x14ac:dyDescent="0.2">
      <c r="A247" s="60" t="s">
        <v>986</v>
      </c>
      <c r="B247" s="60" t="s">
        <v>987</v>
      </c>
      <c r="C247" s="60" t="s">
        <v>988</v>
      </c>
      <c r="D247" s="60" t="s">
        <v>989</v>
      </c>
    </row>
    <row r="248" spans="1:4" x14ac:dyDescent="0.2">
      <c r="A248" s="60" t="s">
        <v>990</v>
      </c>
      <c r="B248" s="60" t="s">
        <v>991</v>
      </c>
      <c r="C248" s="60" t="s">
        <v>992</v>
      </c>
      <c r="D248" s="60" t="s">
        <v>993</v>
      </c>
    </row>
    <row r="249" spans="1:4" x14ac:dyDescent="0.2">
      <c r="A249" s="60" t="s">
        <v>994</v>
      </c>
      <c r="B249" s="60" t="s">
        <v>995</v>
      </c>
      <c r="C249" s="60" t="s">
        <v>996</v>
      </c>
      <c r="D249" s="60" t="s">
        <v>997</v>
      </c>
    </row>
    <row r="250" spans="1:4" x14ac:dyDescent="0.2">
      <c r="A250" s="60" t="s">
        <v>998</v>
      </c>
      <c r="B250" s="60" t="s">
        <v>999</v>
      </c>
      <c r="C250" s="60" t="s">
        <v>1000</v>
      </c>
      <c r="D250" s="60" t="s">
        <v>1001</v>
      </c>
    </row>
    <row r="251" spans="1:4" x14ac:dyDescent="0.2">
      <c r="A251" s="60" t="s">
        <v>1002</v>
      </c>
      <c r="B251" s="60" t="s">
        <v>1003</v>
      </c>
      <c r="C251" s="60" t="s">
        <v>1253</v>
      </c>
      <c r="D251" s="60" t="s">
        <v>1004</v>
      </c>
    </row>
    <row r="252" spans="1:4" x14ac:dyDescent="0.2">
      <c r="A252" s="60" t="s">
        <v>1005</v>
      </c>
      <c r="B252" s="60" t="s">
        <v>1006</v>
      </c>
      <c r="C252" s="60" t="s">
        <v>1007</v>
      </c>
      <c r="D252" s="60" t="s">
        <v>222</v>
      </c>
    </row>
    <row r="253" spans="1:4" x14ac:dyDescent="0.2">
      <c r="A253" s="60" t="s">
        <v>1115</v>
      </c>
      <c r="B253" s="60" t="s">
        <v>1116</v>
      </c>
      <c r="C253" s="60" t="s">
        <v>1254</v>
      </c>
      <c r="D253" s="60" t="s">
        <v>1256</v>
      </c>
    </row>
    <row r="254" spans="1:4" x14ac:dyDescent="0.2">
      <c r="A254" s="60" t="s">
        <v>1117</v>
      </c>
      <c r="B254" s="60" t="s">
        <v>1118</v>
      </c>
      <c r="C254" s="60" t="s">
        <v>1255</v>
      </c>
      <c r="D254" s="60" t="s">
        <v>1257</v>
      </c>
    </row>
    <row r="255" spans="1:4" x14ac:dyDescent="0.2">
      <c r="A255" s="113" t="s">
        <v>1119</v>
      </c>
      <c r="B255" s="113" t="s">
        <v>1120</v>
      </c>
      <c r="C255" s="113" t="s">
        <v>1263</v>
      </c>
      <c r="D255" s="113"/>
    </row>
  </sheetData>
  <sheetProtection autoFilter="0"/>
  <sortState xmlns:xlrd2="http://schemas.microsoft.com/office/spreadsheetml/2017/richdata2" ref="A1:J140">
    <sortCondition ref="B16"/>
  </sortState>
  <phoneticPr fontId="4" type="noConversion"/>
  <dataValidations count="1">
    <dataValidation type="custom" allowBlank="1" showInputMessage="1" showErrorMessage="1" sqref="F1" xr:uid="{00000000-0002-0000-0D00-000000000000}">
      <formula1>""</formula1>
    </dataValidation>
  </dataValidations>
  <hyperlinks>
    <hyperlink ref="F1" location="NC!A1" display="1" xr:uid="{00000000-0004-0000-0D00-000000000000}"/>
  </hyperlinks>
  <pageMargins left="0.75" right="0.75" top="1" bottom="1" header="0.5" footer="0.5"/>
  <pageSetup paperSize="9" orientation="portrait" r:id="rId1"/>
  <headerFooter alignWithMargins="0"/>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B4617D-472E-4189-A5DB-12EEC2A1E8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ReadMe</vt:lpstr>
      <vt:lpstr>FORM</vt:lpstr>
      <vt:lpstr>NC</vt:lpstr>
      <vt:lpstr>CODEHI</vt:lpstr>
      <vt:lpstr>ARE</vt:lpstr>
      <vt:lpstr>COV</vt:lpstr>
      <vt:lpstr>CUN</vt:lpstr>
      <vt:lpstr>DPR</vt:lpstr>
      <vt:lpstr>DSO</vt:lpstr>
      <vt:lpstr>FIELDS</vt:lpstr>
      <vt:lpstr>FIELDS2</vt:lpstr>
      <vt:lpstr>FIS</vt:lpstr>
      <vt:lpstr>flags</vt:lpstr>
      <vt:lpstr>FLG</vt:lpstr>
      <vt:lpstr>ge</vt:lpstr>
      <vt:lpstr>lang3</vt:lpstr>
      <vt:lpstr>LANGUAGE</vt:lpstr>
      <vt:lpstr>LANGUAGESET</vt:lpstr>
      <vt:lpstr>phno</vt:lpstr>
      <vt:lpstr>REA</vt:lpstr>
      <vt:lpstr>SPC</vt:lpstr>
      <vt:lpstr>TSPC</vt:lpstr>
      <vt:lpstr>TYPEDATA</vt:lpstr>
    </vt:vector>
  </TitlesOfParts>
  <Company>Dell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 piere</dc:creator>
  <cp:lastModifiedBy>Fabio Fiorellato</cp:lastModifiedBy>
  <cp:lastPrinted>2010-04-21T09:16:24Z</cp:lastPrinted>
  <dcterms:created xsi:type="dcterms:W3CDTF">2009-04-03T06:14:43Z</dcterms:created>
  <dcterms:modified xsi:type="dcterms:W3CDTF">2023-05-04T06:28:52Z</dcterms:modified>
</cp:coreProperties>
</file>